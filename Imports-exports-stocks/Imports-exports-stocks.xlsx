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vaps1\USR6\CHGE\desktop\LPG dashboard\Imports-exports-stocks\"/>
    </mc:Choice>
  </mc:AlternateContent>
  <xr:revisionPtr revIDLastSave="0" documentId="13_ncr:1_{2DEC7AC9-1C2A-461A-AB2A-83965191A47A}" xr6:coauthVersionLast="47" xr6:coauthVersionMax="47" xr10:uidLastSave="{00000000-0000-0000-0000-000000000000}"/>
  <bookViews>
    <workbookView xWindow="28680" yWindow="-120" windowWidth="29040" windowHeight="15720" xr2:uid="{1DCFE467-B80B-467B-89DD-9E6DB3104901}"/>
  </bookViews>
  <sheets>
    <sheet name="South Korea" sheetId="1" r:id="rId1"/>
    <sheet name="Japan" sheetId="2" r:id="rId2"/>
    <sheet name="USA" sheetId="3" r:id="rId3"/>
  </sheets>
  <definedNames>
    <definedName name="SpreadsheetBuilder_2" hidden="1">Japan!$A$1:$F$7</definedName>
    <definedName name="SpreadsheetBuilder_3" hidden="1">Japan!$A$1:$F$7</definedName>
    <definedName name="SpreadsheetBuilder_4" hidden="1">'South Korea'!$A$1:$K$7</definedName>
    <definedName name="SpreadsheetBuilder_5" hidden="1">USA!$A$1:$M$7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B5" i="1"/>
  <c r="D5" i="1"/>
  <c r="F5" i="1"/>
  <c r="H5" i="1"/>
  <c r="J5" i="1"/>
  <c r="G5" i="1"/>
  <c r="K5" i="1"/>
  <c r="I5" i="1"/>
  <c r="E5" i="1"/>
  <c r="K7" i="3"/>
  <c r="J7" i="3"/>
  <c r="I7" i="3"/>
  <c r="H7" i="3"/>
  <c r="G7" i="3"/>
  <c r="F7" i="3"/>
  <c r="M7" i="3"/>
  <c r="E7" i="3"/>
  <c r="L7" i="3"/>
  <c r="D7" i="3"/>
  <c r="C7" i="3"/>
  <c r="G5" i="3"/>
  <c r="H5" i="3"/>
  <c r="A7" i="3"/>
  <c r="K5" i="3"/>
  <c r="J5" i="3"/>
  <c r="C5" i="3"/>
  <c r="D5" i="3"/>
  <c r="F5" i="3"/>
  <c r="L5" i="3"/>
  <c r="M5" i="3"/>
  <c r="E5" i="3"/>
  <c r="I5" i="3"/>
  <c r="B5" i="3"/>
  <c r="K7" i="1"/>
  <c r="F7" i="1"/>
  <c r="C7" i="1"/>
  <c r="D7" i="1"/>
  <c r="G7" i="1"/>
  <c r="I7" i="1"/>
  <c r="E7" i="1"/>
  <c r="H7" i="1"/>
  <c r="J7" i="1"/>
  <c r="A7" i="1"/>
  <c r="D7" i="2"/>
  <c r="C7" i="2"/>
  <c r="F7" i="2"/>
  <c r="E7" i="2"/>
  <c r="A7" i="2"/>
  <c r="B5" i="2"/>
  <c r="C5" i="2"/>
  <c r="E5" i="2"/>
  <c r="D5" i="2"/>
  <c r="F5" i="2"/>
</calcChain>
</file>

<file path=xl/sharedStrings.xml><?xml version="1.0" encoding="utf-8"?>
<sst xmlns="http://schemas.openxmlformats.org/spreadsheetml/2006/main" count="111" uniqueCount="59">
  <si>
    <t>Start Date</t>
  </si>
  <si>
    <t>End Date</t>
  </si>
  <si>
    <t>SKOVPROP Index</t>
  </si>
  <si>
    <t>SKOVBUTN Index</t>
  </si>
  <si>
    <t>SKPMPROP Index</t>
  </si>
  <si>
    <t>SKPMBUTN Index</t>
  </si>
  <si>
    <t>SKEXPROP Index</t>
  </si>
  <si>
    <t>SKEXBUTN Index</t>
  </si>
  <si>
    <t>SKRPPROP Index</t>
  </si>
  <si>
    <t>SKRPBUTN Index</t>
  </si>
  <si>
    <t>SKCBPROP Index</t>
  </si>
  <si>
    <t>SKCBBUTA Index</t>
  </si>
  <si>
    <t>Dates</t>
  </si>
  <si>
    <t>PX_LAST</t>
  </si>
  <si>
    <t>#N/A N/A</t>
  </si>
  <si>
    <t>JPIVLPG Index</t>
  </si>
  <si>
    <t>JPIMLPG Index</t>
  </si>
  <si>
    <t>JPEXLPG Index</t>
  </si>
  <si>
    <t>JPPRLPG Index</t>
  </si>
  <si>
    <t>JPSLLPG Index</t>
  </si>
  <si>
    <t>ST19SN Index</t>
  </si>
  <si>
    <t>ST19SB Index</t>
  </si>
  <si>
    <t>ST19CB Index</t>
  </si>
  <si>
    <t>ST19CN Index</t>
  </si>
  <si>
    <t>PSMUFPPN Index</t>
  </si>
  <si>
    <t>PSMURBPN Index</t>
  </si>
  <si>
    <t>PSMUIMBN Index</t>
  </si>
  <si>
    <t>PSMUIMPN Index</t>
  </si>
  <si>
    <t>PSMUEXPN Index</t>
  </si>
  <si>
    <t>PSMUEXBN Index</t>
  </si>
  <si>
    <t>PSMUFPBN Index</t>
  </si>
  <si>
    <t>PSMURBBN Index</t>
  </si>
  <si>
    <t>South Korea Propane Inventory</t>
  </si>
  <si>
    <t>South Korea Butane Inventory</t>
  </si>
  <si>
    <t>South Korea Butane Imports</t>
  </si>
  <si>
    <t>South Korea Propane Imports</t>
  </si>
  <si>
    <t>South Korea Propane Exports</t>
  </si>
  <si>
    <t>South Korea Butane Exports</t>
  </si>
  <si>
    <t>South Korea Propane production</t>
  </si>
  <si>
    <t>South Korea Butane production</t>
  </si>
  <si>
    <t>South Korea Propane Consumption</t>
  </si>
  <si>
    <t>South Korea Butane Consumption</t>
  </si>
  <si>
    <t>Japan LPG Inventory</t>
  </si>
  <si>
    <t>Japan LPG Imports</t>
  </si>
  <si>
    <t>Japan LPG Exports</t>
  </si>
  <si>
    <t>Japan LPG Production</t>
  </si>
  <si>
    <t>Japan LPG domestic sales</t>
  </si>
  <si>
    <t>USA Propane Inventories</t>
  </si>
  <si>
    <t>USA Butanes/Butylenes Inventories</t>
  </si>
  <si>
    <t>USA Butanes/Butylenes Consumption</t>
  </si>
  <si>
    <t>USA Propane consumption</t>
  </si>
  <si>
    <t>USA Butane Imports</t>
  </si>
  <si>
    <t>USA Propane Imports</t>
  </si>
  <si>
    <t>USA Propane Exports</t>
  </si>
  <si>
    <t>USA Butane Exports</t>
  </si>
  <si>
    <t>USA Butane production (field)</t>
  </si>
  <si>
    <t>USA Propane production (field)</t>
  </si>
  <si>
    <t>USA Butane blending &amp; refinery production</t>
  </si>
  <si>
    <t>USA Propane blending &amp; refinery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</si>
</sst>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BDH|17706092309849374531</stp>
        <tr r="J7" s="1"/>
      </tp>
      <tp t="e">
        <v>#N/A</v>
        <stp/>
        <stp>BDH|15236563426669651470</stp>
        <tr r="C7" s="3"/>
      </tp>
      <tp t="e">
        <v>#N/A</v>
        <stp/>
        <stp>BDH|15297070485684508506</stp>
        <tr r="H7" s="3"/>
      </tp>
      <tp t="e">
        <v>#N/A</v>
        <stp/>
        <stp>BDH|10776002217328656589</stp>
        <tr r="D7" s="1"/>
      </tp>
      <tp t="e">
        <v>#N/A</v>
        <stp/>
        <stp>BDH|10388269063322590403</stp>
        <tr r="M7" s="3"/>
      </tp>
      <tp t="e">
        <v>#N/A</v>
        <stp/>
        <stp>BDH|11373111035824332435</stp>
        <tr r="F7" s="1"/>
      </tp>
      <tp t="e">
        <v>#N/A</v>
        <stp/>
        <stp>BDH|17079880277239667108</stp>
        <tr r="K7" s="1"/>
      </tp>
      <tp t="e">
        <v>#N/A</v>
        <stp/>
        <stp>BDH|13357570454072820174</stp>
        <tr r="J7" s="3"/>
      </tp>
      <tp t="e">
        <v>#N/A</v>
        <stp/>
        <stp>BDH|13777706254256926685</stp>
        <tr r="G7" s="3"/>
      </tp>
      <tp t="e">
        <v>#N/A</v>
        <stp/>
        <stp>BDH|15079704784072118937</stp>
        <tr r="D7" s="3"/>
      </tp>
      <tp t="e">
        <v>#N/A</v>
        <stp/>
        <stp>BDH|11402443664492908024</stp>
        <tr r="D7" s="2"/>
      </tp>
      <tp t="e">
        <v>#N/A</v>
        <stp/>
        <stp>BDH|10678634421303910637</stp>
        <tr r="K7" s="3"/>
      </tp>
      <tp t="e">
        <v>#N/A</v>
        <stp/>
        <stp>BDH|15095571107643903764</stp>
        <tr r="A7" s="3"/>
      </tp>
      <tp t="e">
        <v>#N/A</v>
        <stp/>
        <stp>BDH|14512764654361434255</stp>
        <tr r="F7" s="3"/>
      </tp>
    </main>
    <main first="bloomberg.rtd">
      <tp t="e">
        <v>#N/A</v>
        <stp/>
        <stp>##V3_BFIELDINFOV12</stp>
        <stp>[Imports-exports-stocks.xlsx]South Korea!R5C10</stp>
        <stp>PX_LAST</stp>
        <tr r="J5" s="1"/>
      </tp>
      <tp t="e">
        <v>#N/A</v>
        <stp/>
        <stp>##V3_BFIELDINFOV12</stp>
        <stp>[Imports-exports-stocks.xlsx]South Korea!R5C11</stp>
        <stp>PX_LAST</stp>
        <tr r="K5" s="1"/>
      </tp>
      <tp t="e">
        <v>#N/A</v>
        <stp/>
        <stp>##V3_BFIELDINFOV12</stp>
        <stp>[Book1]Japan!R5C4</stp>
        <stp>PX_LAST</stp>
        <tr r="D5" s="2"/>
      </tp>
      <tp t="e">
        <v>#N/A</v>
        <stp/>
        <stp>##V3_BFIELDINFOV12</stp>
        <stp>[Book1]Japan!R5C5</stp>
        <stp>PX_LAST</stp>
        <tr r="E5" s="2"/>
      </tp>
      <tp t="e">
        <v>#N/A</v>
        <stp/>
        <stp>##V3_BFIELDINFOV12</stp>
        <stp>[Book1]Japan!R5C6</stp>
        <stp>PX_LAST</stp>
        <tr r="F5" s="2"/>
      </tp>
      <tp t="e">
        <v>#N/A</v>
        <stp/>
        <stp>##V3_BFIELDINFOV12</stp>
        <stp>[Book1]Japan!R5C2</stp>
        <stp>PX_LAST</stp>
        <tr r="B5" s="2"/>
      </tp>
      <tp t="e">
        <v>#N/A</v>
        <stp/>
        <stp>##V3_BFIELDINFOV12</stp>
        <stp>[Book1]Japan!R5C3</stp>
        <stp>PX_LAST</stp>
        <tr r="C5" s="2"/>
      </tp>
      <tp t="e">
        <v>#N/A</v>
        <stp/>
        <stp>##V3_BFIELDINFOV12</stp>
        <stp>[Imports-exports-stocks.xlsx]South Korea!R5C3</stp>
        <stp>PX_LAST</stp>
        <tr r="C5" s="1"/>
      </tp>
      <tp t="e">
        <v>#N/A</v>
        <stp/>
        <stp>##V3_BFIELDINFOV12</stp>
        <stp>[Imports-exports-stocks.xlsx]South Korea!R5C2</stp>
        <stp>PX_LAST</stp>
        <tr r="B5" s="1"/>
      </tp>
      <tp t="e">
        <v>#N/A</v>
        <stp/>
        <stp>##V3_BFIELDINFOV12</stp>
        <stp>[Imports-exports-stocks.xlsx]South Korea!R5C7</stp>
        <stp>PX_LAST</stp>
        <tr r="G5" s="1"/>
      </tp>
      <tp t="e">
        <v>#N/A</v>
        <stp/>
        <stp>##V3_BFIELDINFOV12</stp>
        <stp>[Imports-exports-stocks.xlsx]South Korea!R5C6</stp>
        <stp>PX_LAST</stp>
        <tr r="F5" s="1"/>
      </tp>
      <tp t="e">
        <v>#N/A</v>
        <stp/>
        <stp>##V3_BFIELDINFOV12</stp>
        <stp>[Imports-exports-stocks.xlsx]South Korea!R5C5</stp>
        <stp>PX_LAST</stp>
        <tr r="E5" s="1"/>
      </tp>
      <tp t="e">
        <v>#N/A</v>
        <stp/>
        <stp>##V3_BFIELDINFOV12</stp>
        <stp>[Imports-exports-stocks.xlsx]South Korea!R5C4</stp>
        <stp>PX_LAST</stp>
        <tr r="D5" s="1"/>
      </tp>
      <tp t="e">
        <v>#N/A</v>
        <stp/>
        <stp>##V3_BFIELDINFOV12</stp>
        <stp>[Imports-exports-stocks.xlsx]South Korea!R5C9</stp>
        <stp>PX_LAST</stp>
        <tr r="I5" s="1"/>
      </tp>
      <tp t="e">
        <v>#N/A</v>
        <stp/>
        <stp>##V3_BFIELDINFOV12</stp>
        <stp>[Imports-exports-stocks.xlsx]South Korea!R5C8</stp>
        <stp>PX_LAST</stp>
        <tr r="H5" s="1"/>
      </tp>
    </main>
    <main first="bofaddin.rtdserver">
      <tp t="e">
        <v>#N/A</v>
        <stp/>
        <stp>BDH|4788123413359046134</stp>
        <tr r="A7" s="2"/>
      </tp>
      <tp t="e">
        <v>#N/A</v>
        <stp/>
        <stp>BDH|7416616571242874948</stp>
        <tr r="L7" s="3"/>
      </tp>
      <tp t="e">
        <v>#N/A</v>
        <stp/>
        <stp>BDH|6639798570913941883</stp>
        <tr r="G7" s="1"/>
      </tp>
    </main>
    <main first="bloomberg.rtd">
      <tp t="e">
        <v>#N/A</v>
        <stp/>
        <stp>##V3_BFIELDINFOV12</stp>
        <stp>[Book1]USA!R5C10</stp>
        <stp>PX_LAST</stp>
        <tr r="J5" s="3"/>
      </tp>
      <tp t="e">
        <v>#N/A</v>
        <stp/>
        <stp>##V3_BFIELDINFOV12</stp>
        <stp>[Book1]USA!R5C11</stp>
        <stp>PX_LAST</stp>
        <tr r="K5" s="3"/>
      </tp>
      <tp t="e">
        <v>#N/A</v>
        <stp/>
        <stp>##V3_BFIELDINFOV12</stp>
        <stp>[Book1]USA!R5C12</stp>
        <stp>PX_LAST</stp>
        <tr r="L5" s="3"/>
      </tp>
      <tp t="e">
        <v>#N/A</v>
        <stp/>
        <stp>##V3_BFIELDINFOV12</stp>
        <stp>[Book1]USA!R5C13</stp>
        <stp>PX_LAST</stp>
        <tr r="M5" s="3"/>
      </tp>
    </main>
    <main first="bofaddin.rtdserver">
      <tp t="e">
        <v>#N/A</v>
        <stp/>
        <stp>BDH|2456879239121850795</stp>
        <tr r="H7" s="1"/>
      </tp>
      <tp t="e">
        <v>#N/A</v>
        <stp/>
        <stp>BDH|8967105366875011511</stp>
        <tr r="C7" s="1"/>
      </tp>
      <tp t="e">
        <v>#N/A</v>
        <stp/>
        <stp>BDH|2947581945443252482</stp>
        <tr r="E7" s="1"/>
      </tp>
    </main>
    <main first="bloomberg.rtd">
      <tp t="e">
        <v>#N/A</v>
        <stp/>
        <stp>##V3_BFIELDINFOV12</stp>
        <stp>[Book1]USA!R5C9</stp>
        <stp>PX_LAST</stp>
        <tr r="I5" s="3"/>
      </tp>
      <tp t="e">
        <v>#N/A</v>
        <stp/>
        <stp>##V3_BFIELDINFOV12</stp>
        <stp>[Book1]USA!R5C8</stp>
        <stp>PX_LAST</stp>
        <tr r="H5" s="3"/>
      </tp>
      <tp t="e">
        <v>#N/A</v>
        <stp/>
        <stp>##V3_BFIELDINFOV12</stp>
        <stp>[Book1]USA!R5C5</stp>
        <stp>PX_LAST</stp>
        <tr r="E5" s="3"/>
      </tp>
      <tp t="e">
        <v>#N/A</v>
        <stp/>
        <stp>##V3_BFIELDINFOV12</stp>
        <stp>[Book1]USA!R5C4</stp>
        <stp>PX_LAST</stp>
        <tr r="D5" s="3"/>
      </tp>
      <tp t="e">
        <v>#N/A</v>
        <stp/>
        <stp>##V3_BFIELDINFOV12</stp>
        <stp>[Book1]USA!R5C7</stp>
        <stp>PX_LAST</stp>
        <tr r="G5" s="3"/>
      </tp>
      <tp t="e">
        <v>#N/A</v>
        <stp/>
        <stp>##V3_BFIELDINFOV12</stp>
        <stp>[Book1]USA!R5C6</stp>
        <stp>PX_LAST</stp>
        <tr r="F5" s="3"/>
      </tp>
      <tp t="e">
        <v>#N/A</v>
        <stp/>
        <stp>##V3_BFIELDINFOV12</stp>
        <stp>[Book1]USA!R5C3</stp>
        <stp>PX_LAST</stp>
        <tr r="C5" s="3"/>
      </tp>
      <tp t="e">
        <v>#N/A</v>
        <stp/>
        <stp>##V3_BFIELDINFOV12</stp>
        <stp>[Book1]USA!R5C2</stp>
        <stp>PX_LAST</stp>
        <tr r="B5" s="3"/>
      </tp>
    </main>
    <main first="bofaddin.rtdserver">
      <tp t="e">
        <v>#N/A</v>
        <stp/>
        <stp>BDH|3642005465935017784</stp>
        <tr r="A7" s="1"/>
      </tp>
      <tp t="e">
        <v>#N/A</v>
        <stp/>
        <stp>BDH|4781369004914526483</stp>
        <tr r="I7" s="3"/>
      </tp>
      <tp t="e">
        <v>#N/A</v>
        <stp/>
        <stp>BDH|5153376529864249268</stp>
        <tr r="F7" s="2"/>
      </tp>
      <tp t="e">
        <v>#N/A</v>
        <stp/>
        <stp>BDH|7540694348340612694</stp>
        <tr r="C7" s="2"/>
      </tp>
      <tp t="e">
        <v>#N/A</v>
        <stp/>
        <stp>BDH|2385682182799890682</stp>
        <tr r="E7" s="2"/>
      </tp>
      <tp t="e">
        <v>#N/A</v>
        <stp/>
        <stp>BDH|3887567718714157098</stp>
        <tr r="I7" s="1"/>
      </tp>
      <tp t="e">
        <v>#N/A</v>
        <stp/>
        <stp>BDH|377110412863817567</stp>
        <tr r="E7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E8C9-024E-40C1-8957-63FAA48C6361}">
  <dimension ref="A1:K63"/>
  <sheetViews>
    <sheetView tabSelected="1" workbookViewId="0">
      <selection activeCell="G22" sqref="G22"/>
    </sheetView>
  </sheetViews>
  <sheetFormatPr defaultRowHeight="15" x14ac:dyDescent="0.25"/>
  <cols>
    <col min="1" max="1" width="10.140625" bestFit="1" customWidth="1"/>
    <col min="2" max="2" width="28.42578125" bestFit="1" customWidth="1"/>
    <col min="3" max="3" width="27.140625" bestFit="1" customWidth="1"/>
    <col min="4" max="4" width="27.28515625" bestFit="1" customWidth="1"/>
    <col min="5" max="5" width="26" bestFit="1" customWidth="1"/>
    <col min="6" max="6" width="26.85546875" bestFit="1" customWidth="1"/>
    <col min="7" max="7" width="25.5703125" bestFit="1" customWidth="1"/>
    <col min="8" max="8" width="30.28515625" bestFit="1" customWidth="1"/>
    <col min="9" max="9" width="28.85546875" bestFit="1" customWidth="1"/>
    <col min="10" max="10" width="32.42578125" bestFit="1" customWidth="1"/>
    <col min="11" max="11" width="31.140625" bestFit="1" customWidth="1"/>
  </cols>
  <sheetData>
    <row r="1" spans="1:11" x14ac:dyDescent="0.25">
      <c r="A1" t="s">
        <v>0</v>
      </c>
      <c r="B1" s="1">
        <v>44197</v>
      </c>
    </row>
    <row r="2" spans="1:11" x14ac:dyDescent="0.25">
      <c r="A2" t="s">
        <v>1</v>
      </c>
    </row>
    <row r="3" spans="1:11" x14ac:dyDescent="0.25">
      <c r="B3" t="s">
        <v>32</v>
      </c>
      <c r="C3" t="s">
        <v>33</v>
      </c>
      <c r="D3" t="s">
        <v>35</v>
      </c>
      <c r="E3" t="s">
        <v>34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</row>
    <row r="4" spans="1:11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</row>
    <row r="5" spans="1:11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  <c r="E5" t="str">
        <f>_xll.BFieldInfo(E$6)</f>
        <v>Last Price</v>
      </c>
      <c r="F5" t="str">
        <f>_xll.BFieldInfo(F$6)</f>
        <v>Last Price</v>
      </c>
      <c r="G5" t="str">
        <f>_xll.BFieldInfo(G$6)</f>
        <v>Last Price</v>
      </c>
      <c r="H5" t="str">
        <f>_xll.BFieldInfo(H$6)</f>
        <v>Last Price</v>
      </c>
      <c r="I5" t="str">
        <f>_xll.BFieldInfo(I$6)</f>
        <v>Last Price</v>
      </c>
      <c r="J5" t="str">
        <f>_xll.BFieldInfo(J$6)</f>
        <v>Last Price</v>
      </c>
      <c r="K5" t="str">
        <f>_xll.BFieldInfo(K$6)</f>
        <v>Last Price</v>
      </c>
    </row>
    <row r="6" spans="1:11" x14ac:dyDescent="0.25">
      <c r="A6" t="s">
        <v>12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</row>
    <row r="7" spans="1:11" x14ac:dyDescent="0.25">
      <c r="A7" s="2">
        <f>_xll.BDH(B$4,B$6,$B1,$B2,"Dir=V","Per=M","Days=A","Dts=S","cols=2;rows=58")</f>
        <v>44227</v>
      </c>
      <c r="B7">
        <v>2549</v>
      </c>
      <c r="C7">
        <f>_xll.BDH(C$4,C$6,$B1,$B2,"Dir=V","Per=M","Days=A","Dts=H","cols=1;rows=58")</f>
        <v>1234</v>
      </c>
      <c r="D7">
        <f>_xll.BDH(D$4,D$6,$B1,$B2,"Dir=V","Per=M","Days=A","Dts=H","cols=1;rows=58")</f>
        <v>7276</v>
      </c>
      <c r="E7">
        <f>_xll.BDH(E$4,E$6,$B1,$B2,"Dir=V","Per=M","Days=A","Dts=H","cols=1;rows=58")</f>
        <v>1013</v>
      </c>
      <c r="F7">
        <f>_xll.BDH(F$4,F$6,$B1,$B2,"Dir=V","Per=M","Days=A","Dts=H","cols=1;rows=58")</f>
        <v>330</v>
      </c>
      <c r="G7">
        <f>_xll.BDH(G$4,G$6,$B1,$B2,"Dir=V","Per=M","Days=A","Dts=H","cols=1;rows=58")</f>
        <v>22</v>
      </c>
      <c r="H7">
        <f>_xll.BDH(H$4,H$6,$B1,$B2,"Dir=V","Per=M","Days=A","Dts=H","cols=1;rows=58")</f>
        <v>1125</v>
      </c>
      <c r="I7">
        <f>_xll.BDH(I$4,I$6,$B1,$B2,"Dir=V","Per=M","Days=A","Dts=H","cols=1;rows=58")</f>
        <v>1235</v>
      </c>
      <c r="J7">
        <f>_xll.BDH(J$4,J$6,$B1,$B2,"Dir=V","Per=M","Days=A","Dts=H","cols=1;rows=58")</f>
        <v>8280</v>
      </c>
      <c r="K7">
        <f>_xll.BDH(K$4,K$6,$B1,$B2,"Dir=V","Per=M","Days=A","Dts=H","cols=1;rows=58")</f>
        <v>2821</v>
      </c>
    </row>
    <row r="8" spans="1:11" x14ac:dyDescent="0.25">
      <c r="A8" s="2">
        <v>44255</v>
      </c>
      <c r="B8">
        <v>2608</v>
      </c>
      <c r="C8">
        <v>1477</v>
      </c>
      <c r="D8">
        <v>6794</v>
      </c>
      <c r="E8">
        <v>1271</v>
      </c>
      <c r="F8">
        <v>285</v>
      </c>
      <c r="G8">
        <v>87</v>
      </c>
      <c r="H8">
        <v>1035</v>
      </c>
      <c r="I8">
        <v>1291</v>
      </c>
      <c r="J8">
        <v>7010</v>
      </c>
      <c r="K8">
        <v>2677</v>
      </c>
    </row>
    <row r="9" spans="1:11" x14ac:dyDescent="0.25">
      <c r="A9" s="2">
        <v>44286</v>
      </c>
      <c r="B9">
        <v>1996</v>
      </c>
      <c r="C9">
        <v>1196</v>
      </c>
      <c r="D9">
        <v>5150</v>
      </c>
      <c r="E9">
        <v>1225</v>
      </c>
      <c r="F9">
        <v>136</v>
      </c>
      <c r="G9">
        <v>87</v>
      </c>
      <c r="H9">
        <v>1165</v>
      </c>
      <c r="I9">
        <v>1309</v>
      </c>
      <c r="J9">
        <v>6272</v>
      </c>
      <c r="K9">
        <v>3272</v>
      </c>
    </row>
    <row r="10" spans="1:11" x14ac:dyDescent="0.25">
      <c r="A10" s="2">
        <v>44316</v>
      </c>
      <c r="B10">
        <v>2425</v>
      </c>
      <c r="C10">
        <v>1516</v>
      </c>
      <c r="D10">
        <v>5775</v>
      </c>
      <c r="E10">
        <v>1881</v>
      </c>
      <c r="F10">
        <v>158</v>
      </c>
      <c r="G10">
        <v>87</v>
      </c>
      <c r="H10">
        <v>1104</v>
      </c>
      <c r="I10">
        <v>1416</v>
      </c>
      <c r="J10">
        <v>6300</v>
      </c>
      <c r="K10">
        <v>2994</v>
      </c>
    </row>
    <row r="11" spans="1:11" x14ac:dyDescent="0.25">
      <c r="A11" s="2">
        <v>44347</v>
      </c>
      <c r="B11">
        <v>2743</v>
      </c>
      <c r="C11">
        <v>1715</v>
      </c>
      <c r="D11">
        <v>6226</v>
      </c>
      <c r="E11">
        <v>2138</v>
      </c>
      <c r="F11">
        <v>101</v>
      </c>
      <c r="G11">
        <v>42</v>
      </c>
      <c r="H11">
        <v>1117</v>
      </c>
      <c r="I11">
        <v>1702</v>
      </c>
      <c r="J11">
        <v>6997</v>
      </c>
      <c r="K11">
        <v>3575</v>
      </c>
    </row>
    <row r="12" spans="1:11" x14ac:dyDescent="0.25">
      <c r="A12" s="2">
        <v>44377</v>
      </c>
      <c r="B12">
        <v>2347</v>
      </c>
      <c r="C12">
        <v>1149</v>
      </c>
      <c r="D12">
        <v>6183</v>
      </c>
      <c r="E12">
        <v>1923</v>
      </c>
      <c r="F12">
        <v>220</v>
      </c>
      <c r="G12">
        <v>105</v>
      </c>
      <c r="H12">
        <v>1085</v>
      </c>
      <c r="I12">
        <v>1440</v>
      </c>
      <c r="J12">
        <v>7469</v>
      </c>
      <c r="K12">
        <v>3837</v>
      </c>
    </row>
    <row r="13" spans="1:11" x14ac:dyDescent="0.25">
      <c r="A13" s="2">
        <v>44408</v>
      </c>
      <c r="B13">
        <v>2710</v>
      </c>
      <c r="C13">
        <v>1062</v>
      </c>
      <c r="D13">
        <v>7164</v>
      </c>
      <c r="E13">
        <v>2018</v>
      </c>
      <c r="F13">
        <v>329</v>
      </c>
      <c r="G13">
        <v>125</v>
      </c>
      <c r="H13">
        <v>1104</v>
      </c>
      <c r="I13">
        <v>1575</v>
      </c>
      <c r="J13">
        <v>7592</v>
      </c>
      <c r="K13">
        <v>3566</v>
      </c>
    </row>
    <row r="14" spans="1:11" x14ac:dyDescent="0.25">
      <c r="A14" s="2">
        <v>44439</v>
      </c>
      <c r="B14">
        <v>2690</v>
      </c>
      <c r="C14">
        <v>807</v>
      </c>
      <c r="D14">
        <v>5909</v>
      </c>
      <c r="E14">
        <v>1818</v>
      </c>
      <c r="F14">
        <v>282</v>
      </c>
      <c r="G14">
        <v>20</v>
      </c>
      <c r="H14">
        <v>1092</v>
      </c>
      <c r="I14">
        <v>1445</v>
      </c>
      <c r="J14">
        <v>6777</v>
      </c>
      <c r="K14">
        <v>3462</v>
      </c>
    </row>
    <row r="15" spans="1:11" x14ac:dyDescent="0.25">
      <c r="A15" s="2">
        <v>44469</v>
      </c>
      <c r="B15">
        <v>2475</v>
      </c>
      <c r="C15">
        <v>854</v>
      </c>
      <c r="D15">
        <v>5169</v>
      </c>
      <c r="E15">
        <v>2038</v>
      </c>
      <c r="F15">
        <v>174</v>
      </c>
      <c r="G15">
        <v>20</v>
      </c>
      <c r="H15">
        <v>960</v>
      </c>
      <c r="I15">
        <v>1234</v>
      </c>
      <c r="J15">
        <v>6304</v>
      </c>
      <c r="K15">
        <v>3162</v>
      </c>
    </row>
    <row r="16" spans="1:11" x14ac:dyDescent="0.25">
      <c r="A16" s="2">
        <v>44500</v>
      </c>
      <c r="B16">
        <v>2032</v>
      </c>
      <c r="C16">
        <v>1179</v>
      </c>
      <c r="D16">
        <v>5413</v>
      </c>
      <c r="E16">
        <v>2512</v>
      </c>
      <c r="F16">
        <v>323</v>
      </c>
      <c r="G16">
        <v>400</v>
      </c>
      <c r="H16">
        <v>1020</v>
      </c>
      <c r="I16">
        <v>1133</v>
      </c>
      <c r="J16">
        <v>6658</v>
      </c>
      <c r="K16">
        <v>3237</v>
      </c>
    </row>
    <row r="17" spans="1:11" x14ac:dyDescent="0.25">
      <c r="A17" s="2">
        <v>44530</v>
      </c>
      <c r="B17">
        <v>2306</v>
      </c>
      <c r="C17">
        <v>1049</v>
      </c>
      <c r="D17">
        <v>6755</v>
      </c>
      <c r="E17">
        <v>1234</v>
      </c>
      <c r="F17">
        <v>243</v>
      </c>
      <c r="G17">
        <v>5</v>
      </c>
      <c r="H17">
        <v>1066</v>
      </c>
      <c r="I17">
        <v>1216</v>
      </c>
      <c r="J17">
        <v>6810</v>
      </c>
      <c r="K17">
        <v>2929</v>
      </c>
    </row>
    <row r="18" spans="1:11" x14ac:dyDescent="0.25">
      <c r="A18" s="2">
        <v>44561</v>
      </c>
      <c r="B18">
        <v>2678</v>
      </c>
      <c r="C18">
        <v>1225</v>
      </c>
      <c r="D18">
        <v>8549</v>
      </c>
      <c r="E18">
        <v>1464</v>
      </c>
      <c r="F18">
        <v>270</v>
      </c>
      <c r="G18">
        <v>0</v>
      </c>
      <c r="H18">
        <v>1096</v>
      </c>
      <c r="I18">
        <v>1147</v>
      </c>
      <c r="J18">
        <v>8534</v>
      </c>
      <c r="K18">
        <v>2692</v>
      </c>
    </row>
    <row r="19" spans="1:11" x14ac:dyDescent="0.25">
      <c r="A19" s="2">
        <v>44592</v>
      </c>
      <c r="B19">
        <v>3683</v>
      </c>
      <c r="C19">
        <v>1618</v>
      </c>
      <c r="D19">
        <v>9879</v>
      </c>
      <c r="E19">
        <v>1875</v>
      </c>
      <c r="F19">
        <v>236</v>
      </c>
      <c r="G19">
        <v>0</v>
      </c>
      <c r="H19">
        <v>1111</v>
      </c>
      <c r="I19">
        <v>1337</v>
      </c>
      <c r="J19">
        <v>9147</v>
      </c>
      <c r="K19">
        <v>3325</v>
      </c>
    </row>
    <row r="20" spans="1:11" x14ac:dyDescent="0.25">
      <c r="A20" s="2">
        <v>44620</v>
      </c>
      <c r="B20">
        <v>2937</v>
      </c>
      <c r="C20">
        <v>1565</v>
      </c>
      <c r="D20">
        <v>8155</v>
      </c>
      <c r="E20">
        <v>1666</v>
      </c>
      <c r="F20">
        <v>48</v>
      </c>
      <c r="G20">
        <v>28</v>
      </c>
      <c r="H20">
        <v>898</v>
      </c>
      <c r="I20">
        <v>1078</v>
      </c>
      <c r="J20">
        <v>9163</v>
      </c>
      <c r="K20">
        <v>3287</v>
      </c>
    </row>
    <row r="21" spans="1:11" x14ac:dyDescent="0.25">
      <c r="A21" s="2">
        <v>44651</v>
      </c>
      <c r="B21">
        <v>2501</v>
      </c>
      <c r="C21">
        <v>1384</v>
      </c>
      <c r="D21">
        <v>8252</v>
      </c>
      <c r="E21">
        <v>1370</v>
      </c>
      <c r="F21">
        <v>0</v>
      </c>
      <c r="G21">
        <v>20</v>
      </c>
      <c r="H21">
        <v>1032</v>
      </c>
      <c r="I21">
        <v>1213</v>
      </c>
      <c r="J21">
        <v>9273</v>
      </c>
      <c r="K21">
        <v>3253</v>
      </c>
    </row>
    <row r="22" spans="1:11" x14ac:dyDescent="0.25">
      <c r="A22" s="2">
        <v>44681</v>
      </c>
      <c r="B22">
        <v>2878</v>
      </c>
      <c r="C22">
        <v>1472</v>
      </c>
      <c r="D22">
        <v>6858</v>
      </c>
      <c r="E22">
        <v>1511</v>
      </c>
      <c r="F22">
        <v>0</v>
      </c>
      <c r="G22">
        <v>2</v>
      </c>
      <c r="H22">
        <v>1076</v>
      </c>
      <c r="I22">
        <v>1186</v>
      </c>
      <c r="J22">
        <v>7697</v>
      </c>
      <c r="K22">
        <v>2738</v>
      </c>
    </row>
    <row r="23" spans="1:11" x14ac:dyDescent="0.25">
      <c r="A23" s="2">
        <v>44712</v>
      </c>
      <c r="B23">
        <v>3383</v>
      </c>
      <c r="C23">
        <v>1936</v>
      </c>
      <c r="D23">
        <v>6446</v>
      </c>
      <c r="E23">
        <v>2510</v>
      </c>
      <c r="F23">
        <v>13</v>
      </c>
      <c r="G23">
        <v>12</v>
      </c>
      <c r="H23">
        <v>1096</v>
      </c>
      <c r="I23">
        <v>1410</v>
      </c>
      <c r="J23">
        <v>7183</v>
      </c>
      <c r="K23">
        <v>3635</v>
      </c>
    </row>
    <row r="24" spans="1:11" x14ac:dyDescent="0.25">
      <c r="A24" s="2">
        <v>44742</v>
      </c>
      <c r="B24">
        <v>2709</v>
      </c>
      <c r="C24">
        <v>1555</v>
      </c>
      <c r="D24">
        <v>4428</v>
      </c>
      <c r="E24">
        <v>1565</v>
      </c>
      <c r="F24">
        <v>5</v>
      </c>
      <c r="G24">
        <v>0</v>
      </c>
      <c r="H24">
        <v>1001</v>
      </c>
      <c r="I24">
        <v>1249</v>
      </c>
      <c r="J24">
        <v>6266</v>
      </c>
      <c r="K24">
        <v>3350</v>
      </c>
    </row>
    <row r="25" spans="1:11" x14ac:dyDescent="0.25">
      <c r="A25" s="2">
        <v>44773</v>
      </c>
      <c r="B25">
        <v>3585</v>
      </c>
      <c r="C25">
        <v>1878</v>
      </c>
      <c r="D25">
        <v>7248</v>
      </c>
      <c r="E25">
        <v>2119</v>
      </c>
      <c r="F25">
        <v>51</v>
      </c>
      <c r="G25">
        <v>5</v>
      </c>
      <c r="H25">
        <v>1018</v>
      </c>
      <c r="I25">
        <v>1422</v>
      </c>
      <c r="J25">
        <v>7500</v>
      </c>
      <c r="K25">
        <v>3455</v>
      </c>
    </row>
    <row r="26" spans="1:11" x14ac:dyDescent="0.25">
      <c r="A26" s="2">
        <v>44804</v>
      </c>
      <c r="B26">
        <v>3438</v>
      </c>
      <c r="C26">
        <v>1685</v>
      </c>
      <c r="D26">
        <v>5936</v>
      </c>
      <c r="E26">
        <v>1349</v>
      </c>
      <c r="F26">
        <v>43</v>
      </c>
      <c r="G26">
        <v>0</v>
      </c>
      <c r="H26">
        <v>772</v>
      </c>
      <c r="I26">
        <v>1501</v>
      </c>
      <c r="J26">
        <v>6981</v>
      </c>
      <c r="K26">
        <v>3290</v>
      </c>
    </row>
    <row r="27" spans="1:11" x14ac:dyDescent="0.25">
      <c r="A27" s="2">
        <v>44834</v>
      </c>
      <c r="B27">
        <v>3098</v>
      </c>
      <c r="C27">
        <v>1700</v>
      </c>
      <c r="D27">
        <v>5612</v>
      </c>
      <c r="E27">
        <v>1951</v>
      </c>
      <c r="F27">
        <v>43</v>
      </c>
      <c r="G27">
        <v>20</v>
      </c>
      <c r="H27">
        <v>695</v>
      </c>
      <c r="I27">
        <v>1230</v>
      </c>
      <c r="J27">
        <v>6757</v>
      </c>
      <c r="K27">
        <v>3338</v>
      </c>
    </row>
    <row r="28" spans="1:11" x14ac:dyDescent="0.25">
      <c r="A28" s="2">
        <v>44865</v>
      </c>
      <c r="B28">
        <v>3234</v>
      </c>
      <c r="C28">
        <v>1908</v>
      </c>
      <c r="D28">
        <v>6427</v>
      </c>
      <c r="E28">
        <v>2319</v>
      </c>
      <c r="F28">
        <v>52</v>
      </c>
      <c r="G28">
        <v>4</v>
      </c>
      <c r="H28">
        <v>559</v>
      </c>
      <c r="I28">
        <v>1032</v>
      </c>
      <c r="J28">
        <v>6931</v>
      </c>
      <c r="K28">
        <v>3201</v>
      </c>
    </row>
    <row r="29" spans="1:11" x14ac:dyDescent="0.25">
      <c r="A29" s="2">
        <v>44895</v>
      </c>
      <c r="B29">
        <v>3727</v>
      </c>
      <c r="C29">
        <v>1600</v>
      </c>
      <c r="D29">
        <v>8012</v>
      </c>
      <c r="E29">
        <v>1549</v>
      </c>
      <c r="F29">
        <v>30</v>
      </c>
      <c r="G29">
        <v>5</v>
      </c>
      <c r="H29">
        <v>825</v>
      </c>
      <c r="I29">
        <v>846</v>
      </c>
      <c r="J29">
        <v>7857</v>
      </c>
      <c r="K29">
        <v>3314</v>
      </c>
    </row>
    <row r="30" spans="1:11" x14ac:dyDescent="0.25">
      <c r="A30" s="2">
        <v>44926</v>
      </c>
      <c r="B30">
        <v>3493</v>
      </c>
      <c r="C30">
        <v>1645</v>
      </c>
      <c r="D30">
        <v>8593</v>
      </c>
      <c r="E30">
        <v>1442</v>
      </c>
      <c r="F30">
        <v>86</v>
      </c>
      <c r="G30">
        <v>0</v>
      </c>
      <c r="H30">
        <v>728</v>
      </c>
      <c r="I30">
        <v>937</v>
      </c>
      <c r="J30">
        <v>8973</v>
      </c>
      <c r="K30">
        <v>2877</v>
      </c>
    </row>
    <row r="31" spans="1:11" x14ac:dyDescent="0.25">
      <c r="A31" s="2">
        <v>44957</v>
      </c>
      <c r="B31">
        <v>3156</v>
      </c>
      <c r="C31">
        <v>1425</v>
      </c>
      <c r="D31">
        <v>8486</v>
      </c>
      <c r="E31">
        <v>1118</v>
      </c>
      <c r="F31">
        <v>48</v>
      </c>
      <c r="G31">
        <v>0</v>
      </c>
      <c r="H31">
        <v>652</v>
      </c>
      <c r="I31">
        <v>820</v>
      </c>
      <c r="J31">
        <v>8942</v>
      </c>
      <c r="K31">
        <v>2692</v>
      </c>
    </row>
    <row r="32" spans="1:11" x14ac:dyDescent="0.25">
      <c r="A32" s="2">
        <v>44985</v>
      </c>
      <c r="B32">
        <v>2606</v>
      </c>
      <c r="C32">
        <v>1227</v>
      </c>
      <c r="D32">
        <v>7593</v>
      </c>
      <c r="E32">
        <v>963</v>
      </c>
      <c r="F32">
        <v>41</v>
      </c>
      <c r="G32">
        <v>19</v>
      </c>
      <c r="H32">
        <v>759</v>
      </c>
      <c r="I32">
        <v>916</v>
      </c>
      <c r="J32">
        <v>8427</v>
      </c>
      <c r="K32">
        <v>2546</v>
      </c>
    </row>
    <row r="33" spans="1:11" x14ac:dyDescent="0.25">
      <c r="A33" s="2">
        <v>45016</v>
      </c>
      <c r="B33">
        <v>3413</v>
      </c>
      <c r="C33">
        <v>2173</v>
      </c>
      <c r="D33">
        <v>7822</v>
      </c>
      <c r="E33">
        <v>1594</v>
      </c>
      <c r="F33">
        <v>22</v>
      </c>
      <c r="G33">
        <v>29</v>
      </c>
      <c r="H33">
        <v>699</v>
      </c>
      <c r="I33">
        <v>1439</v>
      </c>
      <c r="J33">
        <v>7281</v>
      </c>
      <c r="K33">
        <v>2540</v>
      </c>
    </row>
    <row r="34" spans="1:11" x14ac:dyDescent="0.25">
      <c r="A34" s="2">
        <v>45046</v>
      </c>
      <c r="B34">
        <v>2910</v>
      </c>
      <c r="C34">
        <v>2065</v>
      </c>
      <c r="D34">
        <v>5243</v>
      </c>
      <c r="E34">
        <v>1488</v>
      </c>
      <c r="F34">
        <v>14</v>
      </c>
      <c r="G34">
        <v>29</v>
      </c>
      <c r="H34">
        <v>874</v>
      </c>
      <c r="I34">
        <v>1440</v>
      </c>
      <c r="J34">
        <v>6605</v>
      </c>
      <c r="K34">
        <v>3090</v>
      </c>
    </row>
    <row r="35" spans="1:11" x14ac:dyDescent="0.25">
      <c r="A35" s="2">
        <v>45077</v>
      </c>
      <c r="B35">
        <v>2757</v>
      </c>
      <c r="C35">
        <v>2572</v>
      </c>
      <c r="D35">
        <v>5487</v>
      </c>
      <c r="E35">
        <v>1389</v>
      </c>
      <c r="F35">
        <v>35</v>
      </c>
      <c r="G35">
        <v>32</v>
      </c>
      <c r="H35">
        <v>1182</v>
      </c>
      <c r="I35">
        <v>1820</v>
      </c>
      <c r="J35">
        <v>6750</v>
      </c>
      <c r="K35">
        <v>2955</v>
      </c>
    </row>
    <row r="36" spans="1:11" x14ac:dyDescent="0.25">
      <c r="A36" s="2">
        <v>45107</v>
      </c>
      <c r="B36">
        <v>3381</v>
      </c>
      <c r="C36">
        <v>2425</v>
      </c>
      <c r="D36">
        <v>5246</v>
      </c>
      <c r="E36">
        <v>1580</v>
      </c>
      <c r="F36">
        <v>72</v>
      </c>
      <c r="G36">
        <v>51</v>
      </c>
      <c r="H36">
        <v>1066</v>
      </c>
      <c r="I36">
        <v>1460</v>
      </c>
      <c r="J36">
        <v>5609</v>
      </c>
      <c r="K36">
        <v>3287</v>
      </c>
    </row>
    <row r="37" spans="1:11" x14ac:dyDescent="0.25">
      <c r="A37" s="2">
        <v>45138</v>
      </c>
      <c r="B37">
        <v>3287</v>
      </c>
      <c r="C37">
        <v>2108</v>
      </c>
      <c r="D37">
        <v>5137</v>
      </c>
      <c r="E37">
        <v>2023</v>
      </c>
      <c r="F37">
        <v>14</v>
      </c>
      <c r="G37">
        <v>44</v>
      </c>
      <c r="H37">
        <v>986</v>
      </c>
      <c r="I37">
        <v>1530</v>
      </c>
      <c r="J37">
        <v>6289</v>
      </c>
      <c r="K37">
        <v>4051</v>
      </c>
    </row>
    <row r="38" spans="1:11" x14ac:dyDescent="0.25">
      <c r="A38" s="2">
        <v>45169</v>
      </c>
      <c r="B38">
        <v>3072</v>
      </c>
      <c r="C38">
        <v>2044</v>
      </c>
      <c r="D38">
        <v>6479</v>
      </c>
      <c r="E38">
        <v>2663</v>
      </c>
      <c r="F38">
        <v>8</v>
      </c>
      <c r="G38">
        <v>0</v>
      </c>
      <c r="H38">
        <v>878</v>
      </c>
      <c r="I38">
        <v>1353</v>
      </c>
      <c r="J38">
        <v>7677</v>
      </c>
      <c r="K38">
        <v>4507</v>
      </c>
    </row>
    <row r="39" spans="1:11" x14ac:dyDescent="0.25">
      <c r="A39" s="2">
        <v>45199</v>
      </c>
      <c r="B39">
        <v>3355</v>
      </c>
      <c r="C39">
        <v>2005</v>
      </c>
      <c r="D39">
        <v>6234</v>
      </c>
      <c r="E39">
        <v>2356</v>
      </c>
      <c r="F39">
        <v>16</v>
      </c>
      <c r="G39">
        <v>21</v>
      </c>
      <c r="H39">
        <v>959</v>
      </c>
      <c r="I39">
        <v>1270</v>
      </c>
      <c r="J39">
        <v>6988</v>
      </c>
      <c r="K39">
        <v>3784</v>
      </c>
    </row>
    <row r="40" spans="1:11" x14ac:dyDescent="0.25">
      <c r="A40" s="2">
        <v>45230</v>
      </c>
      <c r="B40">
        <v>3144</v>
      </c>
      <c r="C40">
        <v>1915</v>
      </c>
      <c r="D40">
        <v>5856</v>
      </c>
      <c r="E40">
        <v>2088</v>
      </c>
      <c r="F40">
        <v>16</v>
      </c>
      <c r="G40">
        <v>21</v>
      </c>
      <c r="H40">
        <v>1051</v>
      </c>
      <c r="I40">
        <v>1306</v>
      </c>
      <c r="J40">
        <v>7184</v>
      </c>
      <c r="K40">
        <v>3476</v>
      </c>
    </row>
    <row r="41" spans="1:11" x14ac:dyDescent="0.25">
      <c r="A41" s="2">
        <v>45260</v>
      </c>
      <c r="B41">
        <v>3553</v>
      </c>
      <c r="C41">
        <v>2224</v>
      </c>
      <c r="D41">
        <v>6857</v>
      </c>
      <c r="E41">
        <v>1968</v>
      </c>
      <c r="F41">
        <v>25</v>
      </c>
      <c r="G41">
        <v>0</v>
      </c>
      <c r="H41">
        <v>1022</v>
      </c>
      <c r="I41">
        <v>1282</v>
      </c>
      <c r="J41">
        <v>7069</v>
      </c>
      <c r="K41">
        <v>3350</v>
      </c>
    </row>
    <row r="42" spans="1:11" x14ac:dyDescent="0.25">
      <c r="A42" s="2">
        <v>45291</v>
      </c>
      <c r="B42">
        <v>4363</v>
      </c>
      <c r="C42">
        <v>2256</v>
      </c>
      <c r="D42">
        <v>7176</v>
      </c>
      <c r="E42">
        <v>1555</v>
      </c>
      <c r="F42">
        <v>41</v>
      </c>
      <c r="G42">
        <v>11</v>
      </c>
      <c r="H42">
        <v>929</v>
      </c>
      <c r="I42">
        <v>1354</v>
      </c>
      <c r="J42">
        <v>6820</v>
      </c>
      <c r="K42">
        <v>3266</v>
      </c>
    </row>
    <row r="43" spans="1:11" x14ac:dyDescent="0.25">
      <c r="A43" s="2">
        <v>45322</v>
      </c>
      <c r="B43">
        <v>3949</v>
      </c>
      <c r="C43">
        <v>1898</v>
      </c>
      <c r="D43">
        <v>6286</v>
      </c>
      <c r="E43">
        <v>1519</v>
      </c>
      <c r="F43">
        <v>57</v>
      </c>
      <c r="G43">
        <v>15</v>
      </c>
      <c r="H43">
        <v>987</v>
      </c>
      <c r="I43">
        <v>1170</v>
      </c>
      <c r="J43">
        <v>7162</v>
      </c>
      <c r="K43">
        <v>3457</v>
      </c>
    </row>
    <row r="44" spans="1:11" x14ac:dyDescent="0.25">
      <c r="A44" s="2">
        <v>45351</v>
      </c>
      <c r="B44">
        <v>4021</v>
      </c>
      <c r="C44">
        <v>1894</v>
      </c>
      <c r="D44">
        <v>7074</v>
      </c>
      <c r="E44">
        <v>1284</v>
      </c>
      <c r="F44">
        <v>133</v>
      </c>
      <c r="G44">
        <v>0</v>
      </c>
      <c r="H44">
        <v>1123</v>
      </c>
      <c r="I44">
        <v>1225</v>
      </c>
      <c r="J44">
        <v>7582</v>
      </c>
      <c r="K44">
        <v>2931</v>
      </c>
    </row>
    <row r="45" spans="1:11" x14ac:dyDescent="0.25">
      <c r="A45" s="2">
        <v>45382</v>
      </c>
      <c r="B45">
        <v>2616</v>
      </c>
      <c r="C45">
        <v>1952</v>
      </c>
      <c r="D45">
        <v>6747</v>
      </c>
      <c r="E45">
        <v>2057</v>
      </c>
      <c r="F45">
        <v>2</v>
      </c>
      <c r="G45">
        <v>0</v>
      </c>
      <c r="H45">
        <v>1169</v>
      </c>
      <c r="I45">
        <v>1187</v>
      </c>
      <c r="J45">
        <v>8976</v>
      </c>
      <c r="K45">
        <v>3651</v>
      </c>
    </row>
    <row r="46" spans="1:11" x14ac:dyDescent="0.25">
      <c r="A46" s="2">
        <v>45412</v>
      </c>
      <c r="B46">
        <v>3581</v>
      </c>
      <c r="C46">
        <v>2098</v>
      </c>
      <c r="D46">
        <v>7624</v>
      </c>
      <c r="E46">
        <v>2498</v>
      </c>
      <c r="F46">
        <v>19</v>
      </c>
      <c r="G46">
        <v>0</v>
      </c>
      <c r="H46">
        <v>1238</v>
      </c>
      <c r="I46">
        <v>1456</v>
      </c>
      <c r="J46">
        <v>8050</v>
      </c>
      <c r="K46">
        <v>3857</v>
      </c>
    </row>
    <row r="47" spans="1:11" x14ac:dyDescent="0.25">
      <c r="A47" s="2">
        <v>45443</v>
      </c>
      <c r="B47">
        <v>3447</v>
      </c>
      <c r="C47">
        <v>2869</v>
      </c>
      <c r="D47">
        <v>6867</v>
      </c>
      <c r="E47">
        <v>3250</v>
      </c>
      <c r="F47">
        <v>5</v>
      </c>
      <c r="G47">
        <v>0</v>
      </c>
      <c r="H47">
        <v>1250</v>
      </c>
      <c r="I47">
        <v>1613</v>
      </c>
      <c r="J47">
        <v>8427</v>
      </c>
      <c r="K47">
        <v>4226</v>
      </c>
    </row>
    <row r="48" spans="1:11" x14ac:dyDescent="0.25">
      <c r="A48" s="2">
        <v>45473</v>
      </c>
      <c r="B48">
        <v>2399</v>
      </c>
      <c r="C48">
        <v>1834</v>
      </c>
      <c r="D48">
        <v>5643</v>
      </c>
      <c r="E48">
        <v>1893</v>
      </c>
      <c r="F48">
        <v>0</v>
      </c>
      <c r="G48">
        <v>0</v>
      </c>
      <c r="H48">
        <v>1101</v>
      </c>
      <c r="I48">
        <v>1421</v>
      </c>
      <c r="J48">
        <v>7990</v>
      </c>
      <c r="K48">
        <v>4536</v>
      </c>
    </row>
    <row r="49" spans="1:11" x14ac:dyDescent="0.25">
      <c r="A49" s="2">
        <v>45504</v>
      </c>
      <c r="B49">
        <v>2678</v>
      </c>
      <c r="C49">
        <v>2381</v>
      </c>
      <c r="D49">
        <v>6595</v>
      </c>
      <c r="E49">
        <v>3493</v>
      </c>
      <c r="F49">
        <v>0</v>
      </c>
      <c r="G49">
        <v>21</v>
      </c>
      <c r="H49">
        <v>1071</v>
      </c>
      <c r="I49">
        <v>1587</v>
      </c>
      <c r="J49">
        <v>7611</v>
      </c>
      <c r="K49">
        <v>4650</v>
      </c>
    </row>
    <row r="50" spans="1:11" x14ac:dyDescent="0.25">
      <c r="A50" s="2">
        <v>45535</v>
      </c>
      <c r="B50">
        <v>3061</v>
      </c>
      <c r="C50">
        <v>2023</v>
      </c>
      <c r="D50">
        <v>6315</v>
      </c>
      <c r="E50">
        <v>2283</v>
      </c>
      <c r="F50">
        <v>0</v>
      </c>
      <c r="G50">
        <v>83</v>
      </c>
      <c r="H50">
        <v>1014</v>
      </c>
      <c r="I50">
        <v>1587</v>
      </c>
      <c r="J50">
        <v>7153</v>
      </c>
      <c r="K50">
        <v>4305</v>
      </c>
    </row>
    <row r="51" spans="1:11" x14ac:dyDescent="0.25">
      <c r="A51" s="2">
        <v>45565</v>
      </c>
      <c r="B51">
        <v>2537</v>
      </c>
      <c r="C51">
        <v>1841</v>
      </c>
      <c r="D51">
        <v>5305</v>
      </c>
      <c r="E51">
        <v>2230</v>
      </c>
      <c r="F51">
        <v>6</v>
      </c>
      <c r="G51">
        <v>41</v>
      </c>
      <c r="H51">
        <v>985</v>
      </c>
      <c r="I51">
        <v>1408</v>
      </c>
      <c r="J51">
        <v>6960</v>
      </c>
      <c r="K51">
        <v>3833</v>
      </c>
    </row>
    <row r="52" spans="1:11" x14ac:dyDescent="0.25">
      <c r="A52" s="2">
        <v>45596</v>
      </c>
      <c r="B52">
        <v>2781</v>
      </c>
      <c r="C52">
        <v>1449</v>
      </c>
      <c r="D52">
        <v>6099</v>
      </c>
      <c r="E52">
        <v>1999</v>
      </c>
      <c r="F52">
        <v>12</v>
      </c>
      <c r="G52">
        <v>41</v>
      </c>
      <c r="H52">
        <v>998</v>
      </c>
      <c r="I52">
        <v>1234</v>
      </c>
      <c r="J52">
        <v>7007</v>
      </c>
      <c r="K52">
        <v>3572</v>
      </c>
    </row>
    <row r="53" spans="1:11" x14ac:dyDescent="0.25">
      <c r="A53" s="2">
        <v>45626</v>
      </c>
      <c r="B53">
        <v>2705</v>
      </c>
      <c r="C53">
        <v>1869</v>
      </c>
      <c r="D53">
        <v>6374</v>
      </c>
      <c r="E53">
        <v>2099</v>
      </c>
      <c r="F53">
        <v>5</v>
      </c>
      <c r="G53">
        <v>42</v>
      </c>
      <c r="H53">
        <v>1023</v>
      </c>
      <c r="I53">
        <v>1160</v>
      </c>
      <c r="J53">
        <v>7102</v>
      </c>
      <c r="K53">
        <v>3251</v>
      </c>
    </row>
    <row r="54" spans="1:11" x14ac:dyDescent="0.25">
      <c r="A54" s="2">
        <v>45657</v>
      </c>
      <c r="B54">
        <v>3147</v>
      </c>
      <c r="C54">
        <v>1457</v>
      </c>
      <c r="D54">
        <v>6918</v>
      </c>
      <c r="E54">
        <v>1450</v>
      </c>
      <c r="F54">
        <v>87</v>
      </c>
      <c r="G54">
        <v>41</v>
      </c>
      <c r="H54">
        <v>1155</v>
      </c>
      <c r="I54">
        <v>1273</v>
      </c>
      <c r="J54">
        <v>7152</v>
      </c>
      <c r="K54">
        <v>3471</v>
      </c>
    </row>
    <row r="55" spans="1:11" x14ac:dyDescent="0.25">
      <c r="A55" s="2">
        <v>45688</v>
      </c>
      <c r="B55">
        <v>2919</v>
      </c>
      <c r="C55">
        <v>1733</v>
      </c>
      <c r="D55">
        <v>5684</v>
      </c>
      <c r="E55">
        <v>2163</v>
      </c>
      <c r="F55">
        <v>66</v>
      </c>
      <c r="G55">
        <v>0</v>
      </c>
      <c r="H55">
        <v>1378</v>
      </c>
      <c r="I55">
        <v>1233</v>
      </c>
      <c r="J55">
        <v>6827</v>
      </c>
      <c r="K55">
        <v>3546</v>
      </c>
    </row>
    <row r="56" spans="1:11" x14ac:dyDescent="0.25">
      <c r="A56" s="2">
        <v>45716</v>
      </c>
      <c r="B56">
        <v>3954</v>
      </c>
      <c r="C56">
        <v>2287</v>
      </c>
      <c r="D56">
        <v>6442</v>
      </c>
      <c r="E56">
        <v>2290</v>
      </c>
      <c r="F56">
        <v>10</v>
      </c>
      <c r="G56">
        <v>0</v>
      </c>
      <c r="H56">
        <v>1126</v>
      </c>
      <c r="I56">
        <v>1164</v>
      </c>
      <c r="J56">
        <v>6173</v>
      </c>
      <c r="K56">
        <v>3308</v>
      </c>
    </row>
    <row r="57" spans="1:11" x14ac:dyDescent="0.25">
      <c r="A57" s="2">
        <v>45747</v>
      </c>
      <c r="B57">
        <v>2778</v>
      </c>
      <c r="C57">
        <v>1924</v>
      </c>
      <c r="D57">
        <v>4600</v>
      </c>
      <c r="E57">
        <v>1411</v>
      </c>
      <c r="F57">
        <v>1</v>
      </c>
      <c r="G57">
        <v>0</v>
      </c>
      <c r="H57">
        <v>1278</v>
      </c>
      <c r="I57">
        <v>1165</v>
      </c>
      <c r="J57">
        <v>6757</v>
      </c>
      <c r="K57">
        <v>3469</v>
      </c>
    </row>
    <row r="58" spans="1:11" x14ac:dyDescent="0.25">
      <c r="A58" s="2">
        <v>45777</v>
      </c>
      <c r="B58">
        <v>3088</v>
      </c>
      <c r="C58">
        <v>1534</v>
      </c>
      <c r="D58">
        <v>5599</v>
      </c>
      <c r="E58">
        <v>2147</v>
      </c>
      <c r="F58">
        <v>100</v>
      </c>
      <c r="G58">
        <v>133</v>
      </c>
      <c r="H58">
        <v>1189</v>
      </c>
      <c r="I58">
        <v>1257</v>
      </c>
      <c r="J58">
        <v>6530</v>
      </c>
      <c r="K58">
        <v>3740</v>
      </c>
    </row>
    <row r="59" spans="1:11" x14ac:dyDescent="0.25">
      <c r="A59" s="2">
        <v>45808</v>
      </c>
      <c r="B59">
        <v>3334</v>
      </c>
      <c r="C59">
        <v>1621</v>
      </c>
      <c r="D59">
        <v>5888</v>
      </c>
      <c r="E59">
        <v>2541</v>
      </c>
      <c r="F59">
        <v>698</v>
      </c>
      <c r="G59">
        <v>131</v>
      </c>
      <c r="H59">
        <v>1302</v>
      </c>
      <c r="I59">
        <v>1406</v>
      </c>
      <c r="J59">
        <v>6409</v>
      </c>
      <c r="K59">
        <v>3830</v>
      </c>
    </row>
    <row r="60" spans="1:11" x14ac:dyDescent="0.25">
      <c r="A60" s="2">
        <v>45838</v>
      </c>
      <c r="B60">
        <v>3404</v>
      </c>
      <c r="C60">
        <v>1836</v>
      </c>
      <c r="D60">
        <v>6673</v>
      </c>
      <c r="E60">
        <v>2354</v>
      </c>
      <c r="F60">
        <v>538</v>
      </c>
      <c r="G60">
        <v>20</v>
      </c>
      <c r="H60">
        <v>1203</v>
      </c>
      <c r="I60">
        <v>1416</v>
      </c>
      <c r="J60">
        <v>7425</v>
      </c>
      <c r="K60">
        <v>3645</v>
      </c>
    </row>
    <row r="61" spans="1:11" x14ac:dyDescent="0.25">
      <c r="A61" s="2">
        <v>45869</v>
      </c>
      <c r="B61">
        <v>3314</v>
      </c>
      <c r="C61">
        <v>2199</v>
      </c>
      <c r="D61">
        <v>5486</v>
      </c>
      <c r="E61">
        <v>3563</v>
      </c>
      <c r="F61">
        <v>131</v>
      </c>
      <c r="G61">
        <v>0</v>
      </c>
      <c r="H61">
        <v>1192</v>
      </c>
      <c r="I61">
        <v>1286</v>
      </c>
      <c r="J61">
        <v>6854</v>
      </c>
      <c r="K61">
        <v>4648</v>
      </c>
    </row>
    <row r="62" spans="1:11" x14ac:dyDescent="0.25">
      <c r="A62" s="2">
        <v>45900</v>
      </c>
      <c r="B62">
        <v>3646</v>
      </c>
      <c r="C62">
        <v>2315</v>
      </c>
      <c r="D62">
        <v>5397</v>
      </c>
      <c r="E62">
        <v>2876</v>
      </c>
      <c r="F62">
        <v>0</v>
      </c>
      <c r="G62">
        <v>0</v>
      </c>
      <c r="H62">
        <v>1167</v>
      </c>
      <c r="I62">
        <v>1323</v>
      </c>
      <c r="J62">
        <v>6383</v>
      </c>
      <c r="K62">
        <v>4213</v>
      </c>
    </row>
    <row r="63" spans="1:11" x14ac:dyDescent="0.25">
      <c r="A63" s="2">
        <v>45930</v>
      </c>
      <c r="B63">
        <v>3905</v>
      </c>
      <c r="C63">
        <v>2390</v>
      </c>
      <c r="D63">
        <v>6254</v>
      </c>
      <c r="E63">
        <v>3271</v>
      </c>
      <c r="F63">
        <v>23</v>
      </c>
      <c r="G63">
        <v>62</v>
      </c>
      <c r="H63">
        <v>1282</v>
      </c>
      <c r="I63">
        <v>1098</v>
      </c>
      <c r="J63">
        <v>7402</v>
      </c>
      <c r="K63">
        <v>4294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CB66-FD9B-489E-BCA5-34797C06B31B}">
  <dimension ref="A1:F1274"/>
  <sheetViews>
    <sheetView workbookViewId="0">
      <selection activeCell="G31" sqref="G31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17.5703125" bestFit="1" customWidth="1"/>
    <col min="4" max="4" width="17" bestFit="1" customWidth="1"/>
    <col min="5" max="5" width="20.42578125" bestFit="1" customWidth="1"/>
    <col min="6" max="6" width="24.140625" bestFit="1" customWidth="1"/>
  </cols>
  <sheetData>
    <row r="1" spans="1:6" x14ac:dyDescent="0.25">
      <c r="A1" t="s">
        <v>0</v>
      </c>
      <c r="B1" s="1">
        <v>44197</v>
      </c>
    </row>
    <row r="2" spans="1:6" x14ac:dyDescent="0.25">
      <c r="A2" t="s">
        <v>1</v>
      </c>
    </row>
    <row r="3" spans="1:6" x14ac:dyDescent="0.25">
      <c r="B3" t="s">
        <v>42</v>
      </c>
      <c r="C3" t="s">
        <v>43</v>
      </c>
      <c r="D3" t="s">
        <v>44</v>
      </c>
      <c r="E3" t="s">
        <v>45</v>
      </c>
      <c r="F3" t="s">
        <v>46</v>
      </c>
    </row>
    <row r="4" spans="1:6" x14ac:dyDescent="0.25"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  <c r="E5" t="str">
        <f>_xll.BFieldInfo(E$6)</f>
        <v>Last Price</v>
      </c>
      <c r="F5" t="str">
        <f>_xll.BFieldInfo(F$6)</f>
        <v>Last Price</v>
      </c>
    </row>
    <row r="6" spans="1:6" x14ac:dyDescent="0.25">
      <c r="A6" t="s">
        <v>12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</row>
    <row r="7" spans="1:6" x14ac:dyDescent="0.25">
      <c r="A7" s="2">
        <f>_xll.BDH(B$4,B$6,$B1,$B2,"Dir=V","Per=M","Days=A","Dts=S","cols=2;rows=58")</f>
        <v>44227</v>
      </c>
      <c r="B7">
        <v>1500.5</v>
      </c>
      <c r="C7">
        <f>_xll.BDH(C$4,C$6,$B1,$B2,"Dir=V","Per=M","Days=A","Dts=H","cols=1;rows=58")</f>
        <v>1175.72</v>
      </c>
      <c r="D7">
        <f>_xll.BDH(D$4,D$6,$B1,$B2,"Dir=V","Per=M","Days=A","Dts=H","cols=1;rows=58")</f>
        <v>5.96</v>
      </c>
      <c r="E7">
        <f>_xll.BDH(E$4,E$6,$B1,$B2,"Dir=V","Per=M","Days=A","Dts=H","cols=1;rows=58")</f>
        <v>282.81</v>
      </c>
      <c r="F7">
        <f>_xll.BDH(F$4,F$6,$B1,$B2,"Dir=V","Per=M","Days=A","Dts=H","cols=1;rows=58")</f>
        <v>1118.19</v>
      </c>
    </row>
    <row r="8" spans="1:6" x14ac:dyDescent="0.25">
      <c r="A8" s="2">
        <v>44255</v>
      </c>
      <c r="B8">
        <v>1613.17</v>
      </c>
      <c r="C8">
        <v>1126.71</v>
      </c>
      <c r="D8">
        <v>0</v>
      </c>
      <c r="E8">
        <v>234.59</v>
      </c>
      <c r="F8">
        <v>992.41</v>
      </c>
    </row>
    <row r="9" spans="1:6" x14ac:dyDescent="0.25">
      <c r="A9" s="2">
        <v>44286</v>
      </c>
      <c r="B9">
        <v>1566.11</v>
      </c>
      <c r="C9">
        <v>981.53</v>
      </c>
      <c r="D9">
        <v>3.94</v>
      </c>
      <c r="E9">
        <v>261.45</v>
      </c>
      <c r="F9">
        <v>1025.4100000000001</v>
      </c>
    </row>
    <row r="10" spans="1:6" x14ac:dyDescent="0.25">
      <c r="A10" s="2">
        <v>44316</v>
      </c>
      <c r="B10">
        <v>1474.36</v>
      </c>
      <c r="C10">
        <v>787.2</v>
      </c>
      <c r="D10">
        <v>3.06</v>
      </c>
      <c r="E10">
        <v>271.58999999999997</v>
      </c>
      <c r="F10">
        <v>911.34</v>
      </c>
    </row>
    <row r="11" spans="1:6" x14ac:dyDescent="0.25">
      <c r="A11" s="2">
        <v>44347</v>
      </c>
      <c r="B11">
        <v>1605.43</v>
      </c>
      <c r="C11">
        <v>794.73</v>
      </c>
      <c r="D11">
        <v>2.94</v>
      </c>
      <c r="E11">
        <v>265.74</v>
      </c>
      <c r="F11">
        <v>711.02</v>
      </c>
    </row>
    <row r="12" spans="1:6" x14ac:dyDescent="0.25">
      <c r="A12" s="2">
        <v>44377</v>
      </c>
      <c r="B12">
        <v>1536.48</v>
      </c>
      <c r="C12">
        <v>704.14</v>
      </c>
      <c r="D12">
        <v>4.8499999999999996</v>
      </c>
      <c r="E12">
        <v>226.7</v>
      </c>
      <c r="F12">
        <v>822.05</v>
      </c>
    </row>
    <row r="13" spans="1:6" x14ac:dyDescent="0.25">
      <c r="A13" s="2">
        <v>44408</v>
      </c>
      <c r="B13">
        <v>1583.72</v>
      </c>
      <c r="C13">
        <v>766.9</v>
      </c>
      <c r="D13">
        <v>14.17</v>
      </c>
      <c r="E13">
        <v>222.7</v>
      </c>
      <c r="F13">
        <v>762.64</v>
      </c>
    </row>
    <row r="14" spans="1:6" x14ac:dyDescent="0.25">
      <c r="A14" s="2">
        <v>44439</v>
      </c>
      <c r="B14">
        <v>1863.48</v>
      </c>
      <c r="C14">
        <v>802.15</v>
      </c>
      <c r="D14">
        <v>28.88</v>
      </c>
      <c r="E14">
        <v>314.98</v>
      </c>
      <c r="F14">
        <v>651.57000000000005</v>
      </c>
    </row>
    <row r="15" spans="1:6" x14ac:dyDescent="0.25">
      <c r="A15" s="2">
        <v>44469</v>
      </c>
      <c r="B15">
        <v>1955.47</v>
      </c>
      <c r="C15">
        <v>763.15</v>
      </c>
      <c r="D15">
        <v>18.739999999999998</v>
      </c>
      <c r="E15">
        <v>286.41000000000003</v>
      </c>
      <c r="F15">
        <v>789.11</v>
      </c>
    </row>
    <row r="16" spans="1:6" x14ac:dyDescent="0.25">
      <c r="A16" s="2">
        <v>44500</v>
      </c>
      <c r="B16">
        <v>2046.53</v>
      </c>
      <c r="C16">
        <v>825.62</v>
      </c>
      <c r="D16">
        <v>16.850000000000001</v>
      </c>
      <c r="E16">
        <v>255.35</v>
      </c>
      <c r="F16">
        <v>719.43</v>
      </c>
    </row>
    <row r="17" spans="1:6" x14ac:dyDescent="0.25">
      <c r="A17" s="2">
        <v>44530</v>
      </c>
      <c r="B17">
        <v>1949.8</v>
      </c>
      <c r="C17">
        <v>768.94</v>
      </c>
      <c r="D17">
        <v>21.65</v>
      </c>
      <c r="E17">
        <v>245.18</v>
      </c>
      <c r="F17">
        <v>851.29</v>
      </c>
    </row>
    <row r="18" spans="1:6" x14ac:dyDescent="0.25">
      <c r="A18" s="2">
        <v>44561</v>
      </c>
      <c r="B18">
        <v>1672.4</v>
      </c>
      <c r="C18">
        <v>886.07</v>
      </c>
      <c r="D18">
        <v>26.25</v>
      </c>
      <c r="E18">
        <v>280.43</v>
      </c>
      <c r="F18">
        <v>1126.51</v>
      </c>
    </row>
    <row r="19" spans="1:6" x14ac:dyDescent="0.25">
      <c r="A19" s="2">
        <v>44592</v>
      </c>
      <c r="B19">
        <v>1712.53</v>
      </c>
      <c r="C19">
        <v>1159.53</v>
      </c>
      <c r="D19">
        <v>10.68</v>
      </c>
      <c r="E19">
        <v>280.43</v>
      </c>
      <c r="F19">
        <v>1147.1600000000001</v>
      </c>
    </row>
    <row r="20" spans="1:6" x14ac:dyDescent="0.25">
      <c r="A20" s="2">
        <v>44620</v>
      </c>
      <c r="B20">
        <v>1516.95</v>
      </c>
      <c r="C20">
        <v>913.91</v>
      </c>
      <c r="D20">
        <v>11.49</v>
      </c>
      <c r="E20">
        <v>238.85</v>
      </c>
      <c r="F20">
        <v>1059.05</v>
      </c>
    </row>
    <row r="21" spans="1:6" x14ac:dyDescent="0.25">
      <c r="A21" s="2">
        <v>44651</v>
      </c>
      <c r="B21">
        <v>1571.97</v>
      </c>
      <c r="C21">
        <v>1133.44</v>
      </c>
      <c r="D21">
        <v>24.08</v>
      </c>
      <c r="E21">
        <v>240.06</v>
      </c>
      <c r="F21">
        <v>1046.81</v>
      </c>
    </row>
    <row r="22" spans="1:6" x14ac:dyDescent="0.25">
      <c r="A22" s="2">
        <v>44681</v>
      </c>
      <c r="B22">
        <v>1609.26</v>
      </c>
      <c r="C22">
        <v>892.79</v>
      </c>
      <c r="D22">
        <v>22.29</v>
      </c>
      <c r="E22">
        <v>262.08</v>
      </c>
      <c r="F22">
        <v>908.47</v>
      </c>
    </row>
    <row r="23" spans="1:6" x14ac:dyDescent="0.25">
      <c r="A23" s="2">
        <v>44712</v>
      </c>
      <c r="B23">
        <v>1687.15</v>
      </c>
      <c r="C23">
        <v>856.88</v>
      </c>
      <c r="D23">
        <v>16.88</v>
      </c>
      <c r="E23">
        <v>282.72000000000003</v>
      </c>
      <c r="F23">
        <v>895.09</v>
      </c>
    </row>
    <row r="24" spans="1:6" x14ac:dyDescent="0.25">
      <c r="A24" s="2">
        <v>44742</v>
      </c>
      <c r="B24">
        <v>1722.25</v>
      </c>
      <c r="C24">
        <v>756.03</v>
      </c>
      <c r="D24">
        <v>23.81</v>
      </c>
      <c r="E24">
        <v>232.53</v>
      </c>
      <c r="F24">
        <v>791.44</v>
      </c>
    </row>
    <row r="25" spans="1:6" x14ac:dyDescent="0.25">
      <c r="A25" s="2">
        <v>44773</v>
      </c>
      <c r="B25">
        <v>1806.07</v>
      </c>
      <c r="C25">
        <v>822.76</v>
      </c>
      <c r="D25">
        <v>28.71</v>
      </c>
      <c r="E25">
        <v>247.35</v>
      </c>
      <c r="F25">
        <v>718.53</v>
      </c>
    </row>
    <row r="26" spans="1:6" x14ac:dyDescent="0.25">
      <c r="A26" s="2">
        <v>44804</v>
      </c>
      <c r="B26">
        <v>1987.53</v>
      </c>
      <c r="C26">
        <v>830.36</v>
      </c>
      <c r="D26">
        <v>21.55</v>
      </c>
      <c r="E26">
        <v>307.17</v>
      </c>
      <c r="F26">
        <v>833.9</v>
      </c>
    </row>
    <row r="27" spans="1:6" x14ac:dyDescent="0.25">
      <c r="A27" s="2">
        <v>44834</v>
      </c>
      <c r="B27">
        <v>2082.5300000000002</v>
      </c>
      <c r="C27">
        <v>828.66</v>
      </c>
      <c r="D27">
        <v>24.45</v>
      </c>
      <c r="E27">
        <v>262.95</v>
      </c>
      <c r="F27">
        <v>803.66</v>
      </c>
    </row>
    <row r="28" spans="1:6" x14ac:dyDescent="0.25">
      <c r="A28" s="2">
        <v>44865</v>
      </c>
      <c r="B28">
        <v>2098.02</v>
      </c>
      <c r="C28">
        <v>799.18</v>
      </c>
      <c r="D28">
        <v>18.329999999999998</v>
      </c>
      <c r="E28">
        <v>247.55</v>
      </c>
      <c r="F28">
        <v>777.64</v>
      </c>
    </row>
    <row r="29" spans="1:6" x14ac:dyDescent="0.25">
      <c r="A29" s="2">
        <v>44895</v>
      </c>
      <c r="B29">
        <v>2015.25</v>
      </c>
      <c r="C29">
        <v>864.32</v>
      </c>
      <c r="D29">
        <v>15.29</v>
      </c>
      <c r="E29">
        <v>237.72</v>
      </c>
      <c r="F29">
        <v>953.84</v>
      </c>
    </row>
    <row r="30" spans="1:6" x14ac:dyDescent="0.25">
      <c r="A30" s="2">
        <v>44926</v>
      </c>
      <c r="B30">
        <v>1793.48</v>
      </c>
      <c r="C30">
        <v>950.46</v>
      </c>
      <c r="D30">
        <v>18.600000000000001</v>
      </c>
      <c r="E30">
        <v>229.18</v>
      </c>
      <c r="F30">
        <v>1277.3699999999999</v>
      </c>
    </row>
    <row r="31" spans="1:6" x14ac:dyDescent="0.25">
      <c r="A31" s="2">
        <v>44957</v>
      </c>
      <c r="B31">
        <v>1630.47</v>
      </c>
      <c r="C31">
        <v>994.86</v>
      </c>
      <c r="D31">
        <v>15.99</v>
      </c>
      <c r="E31">
        <v>204.03</v>
      </c>
      <c r="F31">
        <v>1284.3499999999999</v>
      </c>
    </row>
    <row r="32" spans="1:6" x14ac:dyDescent="0.25">
      <c r="A32" s="2">
        <v>44985</v>
      </c>
      <c r="B32">
        <v>1479.44</v>
      </c>
      <c r="C32">
        <v>974.1</v>
      </c>
      <c r="D32">
        <v>18.7</v>
      </c>
      <c r="E32">
        <v>200.66</v>
      </c>
      <c r="F32">
        <v>1251.55</v>
      </c>
    </row>
    <row r="33" spans="1:6" x14ac:dyDescent="0.25">
      <c r="A33" s="2">
        <v>45016</v>
      </c>
      <c r="B33">
        <v>1736.64</v>
      </c>
      <c r="C33">
        <v>1322.42</v>
      </c>
      <c r="D33">
        <v>24.74</v>
      </c>
      <c r="E33">
        <v>222.2</v>
      </c>
      <c r="F33">
        <v>1207.02</v>
      </c>
    </row>
    <row r="34" spans="1:6" x14ac:dyDescent="0.25">
      <c r="A34" s="2">
        <v>45046</v>
      </c>
      <c r="B34">
        <v>1799.71</v>
      </c>
      <c r="C34">
        <v>802.36</v>
      </c>
      <c r="D34">
        <v>2.91</v>
      </c>
      <c r="E34">
        <v>239.73</v>
      </c>
      <c r="F34">
        <v>864.25</v>
      </c>
    </row>
    <row r="35" spans="1:6" x14ac:dyDescent="0.25">
      <c r="A35" s="2">
        <v>45077</v>
      </c>
      <c r="B35">
        <v>1812.5</v>
      </c>
      <c r="C35">
        <v>777.78</v>
      </c>
      <c r="D35">
        <v>29.7</v>
      </c>
      <c r="E35">
        <v>226.71</v>
      </c>
      <c r="F35">
        <v>843.38</v>
      </c>
    </row>
    <row r="36" spans="1:6" x14ac:dyDescent="0.25">
      <c r="A36" s="2">
        <v>45107</v>
      </c>
      <c r="B36">
        <v>1832.31</v>
      </c>
      <c r="C36">
        <v>741.44</v>
      </c>
      <c r="D36">
        <v>9.23</v>
      </c>
      <c r="E36">
        <v>182.9</v>
      </c>
      <c r="F36">
        <v>856.78</v>
      </c>
    </row>
    <row r="37" spans="1:6" x14ac:dyDescent="0.25">
      <c r="A37" s="2">
        <v>45138</v>
      </c>
      <c r="B37">
        <v>1977.47</v>
      </c>
      <c r="C37">
        <v>902.19</v>
      </c>
      <c r="D37">
        <v>25.54</v>
      </c>
      <c r="E37">
        <v>230.04</v>
      </c>
      <c r="F37">
        <v>824.15</v>
      </c>
    </row>
    <row r="38" spans="1:6" x14ac:dyDescent="0.25">
      <c r="A38" s="2">
        <v>45169</v>
      </c>
      <c r="B38">
        <v>2138.4699999999998</v>
      </c>
      <c r="C38">
        <v>813.41</v>
      </c>
      <c r="D38">
        <v>21.65</v>
      </c>
      <c r="E38">
        <v>266.06</v>
      </c>
      <c r="F38">
        <v>833.41</v>
      </c>
    </row>
    <row r="39" spans="1:6" x14ac:dyDescent="0.25">
      <c r="A39" s="2">
        <v>45199</v>
      </c>
      <c r="B39">
        <v>2093.08</v>
      </c>
      <c r="C39">
        <v>615.19000000000005</v>
      </c>
      <c r="D39">
        <v>20.27</v>
      </c>
      <c r="E39">
        <v>241.15</v>
      </c>
      <c r="F39">
        <v>855.51</v>
      </c>
    </row>
    <row r="40" spans="1:6" x14ac:dyDescent="0.25">
      <c r="A40" s="2">
        <v>45230</v>
      </c>
      <c r="B40">
        <v>1891.7</v>
      </c>
      <c r="C40">
        <v>595.5</v>
      </c>
      <c r="D40">
        <v>18.62</v>
      </c>
      <c r="E40">
        <v>203.19</v>
      </c>
      <c r="F40">
        <v>887.48</v>
      </c>
    </row>
    <row r="41" spans="1:6" x14ac:dyDescent="0.25">
      <c r="A41" s="2">
        <v>45260</v>
      </c>
      <c r="B41">
        <v>1942.15</v>
      </c>
      <c r="C41">
        <v>1016.36</v>
      </c>
      <c r="D41">
        <v>16.989999999999998</v>
      </c>
      <c r="E41">
        <v>195.89</v>
      </c>
      <c r="F41">
        <v>1045.8699999999999</v>
      </c>
    </row>
    <row r="42" spans="1:6" x14ac:dyDescent="0.25">
      <c r="A42" s="2">
        <v>45291</v>
      </c>
      <c r="B42">
        <v>1766.57</v>
      </c>
      <c r="C42">
        <v>998.33</v>
      </c>
      <c r="D42">
        <v>20.5</v>
      </c>
      <c r="E42">
        <v>201.59</v>
      </c>
      <c r="F42">
        <v>1191.43</v>
      </c>
    </row>
    <row r="43" spans="1:6" x14ac:dyDescent="0.25">
      <c r="A43" s="2">
        <v>45322</v>
      </c>
      <c r="B43">
        <v>1930.99</v>
      </c>
      <c r="C43">
        <v>1062.79</v>
      </c>
      <c r="D43">
        <v>18.48</v>
      </c>
      <c r="E43">
        <v>213.99</v>
      </c>
      <c r="F43">
        <v>1055.76</v>
      </c>
    </row>
    <row r="44" spans="1:6" x14ac:dyDescent="0.25">
      <c r="A44" s="2">
        <v>45351</v>
      </c>
      <c r="B44">
        <v>1707</v>
      </c>
      <c r="C44">
        <v>846.72</v>
      </c>
      <c r="D44">
        <v>9.27</v>
      </c>
      <c r="E44">
        <v>198.65</v>
      </c>
      <c r="F44">
        <v>1169.33</v>
      </c>
    </row>
    <row r="45" spans="1:6" x14ac:dyDescent="0.25">
      <c r="A45" s="2">
        <v>45382</v>
      </c>
      <c r="B45">
        <v>1603.48</v>
      </c>
      <c r="C45">
        <v>944.89</v>
      </c>
      <c r="D45">
        <v>3.04</v>
      </c>
      <c r="E45">
        <v>205.96</v>
      </c>
      <c r="F45">
        <v>1048.45</v>
      </c>
    </row>
    <row r="46" spans="1:6" x14ac:dyDescent="0.25">
      <c r="A46" s="2">
        <v>45412</v>
      </c>
      <c r="B46">
        <v>1671.25</v>
      </c>
      <c r="C46">
        <v>949.17</v>
      </c>
      <c r="D46">
        <v>3.11</v>
      </c>
      <c r="E46">
        <v>227.03</v>
      </c>
      <c r="F46">
        <v>1058.8599999999999</v>
      </c>
    </row>
    <row r="47" spans="1:6" x14ac:dyDescent="0.25">
      <c r="A47" s="2">
        <v>45443</v>
      </c>
      <c r="B47">
        <v>1747.47</v>
      </c>
      <c r="C47">
        <v>859.72</v>
      </c>
      <c r="D47">
        <v>6.06</v>
      </c>
      <c r="E47">
        <v>234.46</v>
      </c>
      <c r="F47">
        <v>973.22</v>
      </c>
    </row>
    <row r="48" spans="1:6" x14ac:dyDescent="0.25">
      <c r="A48" s="2">
        <v>45473</v>
      </c>
      <c r="B48">
        <v>1748.77</v>
      </c>
      <c r="C48">
        <v>685.32</v>
      </c>
      <c r="D48">
        <v>21.64</v>
      </c>
      <c r="E48">
        <v>183.02</v>
      </c>
      <c r="F48">
        <v>806.69</v>
      </c>
    </row>
    <row r="49" spans="1:6" x14ac:dyDescent="0.25">
      <c r="A49" s="2">
        <v>45504</v>
      </c>
      <c r="B49">
        <v>1705</v>
      </c>
      <c r="C49">
        <v>722.03</v>
      </c>
      <c r="D49">
        <v>14.53</v>
      </c>
      <c r="E49">
        <v>180.61</v>
      </c>
      <c r="F49">
        <v>871.46</v>
      </c>
    </row>
    <row r="50" spans="1:6" x14ac:dyDescent="0.25">
      <c r="A50" s="2">
        <v>45535</v>
      </c>
      <c r="B50">
        <v>1749.22</v>
      </c>
      <c r="C50">
        <v>677.52</v>
      </c>
      <c r="D50">
        <v>15.33</v>
      </c>
      <c r="E50">
        <v>213.18</v>
      </c>
      <c r="F50">
        <v>725.49</v>
      </c>
    </row>
    <row r="51" spans="1:6" x14ac:dyDescent="0.25">
      <c r="A51" s="2">
        <v>45565</v>
      </c>
      <c r="B51">
        <v>1797.61</v>
      </c>
      <c r="C51">
        <v>656.88</v>
      </c>
      <c r="D51">
        <v>21.11</v>
      </c>
      <c r="E51">
        <v>203.08</v>
      </c>
      <c r="F51">
        <v>733.67</v>
      </c>
    </row>
    <row r="52" spans="1:6" x14ac:dyDescent="0.25">
      <c r="A52" s="2">
        <v>45596</v>
      </c>
      <c r="B52">
        <v>1769.66</v>
      </c>
      <c r="C52">
        <v>755.16</v>
      </c>
      <c r="D52">
        <v>26.5</v>
      </c>
      <c r="E52">
        <v>171.54</v>
      </c>
      <c r="F52">
        <v>874.43</v>
      </c>
    </row>
    <row r="53" spans="1:6" x14ac:dyDescent="0.25">
      <c r="A53" s="2">
        <v>45626</v>
      </c>
      <c r="B53">
        <v>1681.84</v>
      </c>
      <c r="C53">
        <v>804.56</v>
      </c>
      <c r="D53">
        <v>7.86</v>
      </c>
      <c r="E53">
        <v>189.4</v>
      </c>
      <c r="F53">
        <v>993.08</v>
      </c>
    </row>
    <row r="54" spans="1:6" x14ac:dyDescent="0.25">
      <c r="A54" s="2">
        <v>45657</v>
      </c>
      <c r="B54">
        <v>1826.46</v>
      </c>
      <c r="C54">
        <v>1211.0899999999999</v>
      </c>
      <c r="D54">
        <v>6.26</v>
      </c>
      <c r="E54">
        <v>192.02</v>
      </c>
      <c r="F54">
        <v>1157.82</v>
      </c>
    </row>
    <row r="55" spans="1:6" x14ac:dyDescent="0.25">
      <c r="A55" s="2">
        <v>45688</v>
      </c>
      <c r="B55">
        <v>1738.61</v>
      </c>
      <c r="C55">
        <v>1025.8</v>
      </c>
      <c r="D55">
        <v>4.76</v>
      </c>
      <c r="E55">
        <v>201.3</v>
      </c>
      <c r="F55">
        <v>1208.8800000000001</v>
      </c>
    </row>
    <row r="56" spans="1:6" x14ac:dyDescent="0.25">
      <c r="A56" s="2">
        <v>45716</v>
      </c>
      <c r="B56">
        <v>1533.09</v>
      </c>
      <c r="C56">
        <v>854.08</v>
      </c>
      <c r="D56">
        <v>10.98</v>
      </c>
      <c r="E56">
        <v>137.83000000000001</v>
      </c>
      <c r="F56">
        <v>1090.78</v>
      </c>
    </row>
    <row r="57" spans="1:6" x14ac:dyDescent="0.25">
      <c r="A57" s="2">
        <v>45747</v>
      </c>
      <c r="B57">
        <v>1590.96</v>
      </c>
      <c r="C57">
        <v>1174.3399999999999</v>
      </c>
      <c r="D57">
        <v>11.08</v>
      </c>
      <c r="E57">
        <v>185.42</v>
      </c>
      <c r="F57">
        <v>1060.6600000000001</v>
      </c>
    </row>
    <row r="58" spans="1:6" x14ac:dyDescent="0.25">
      <c r="A58" s="2">
        <v>45777</v>
      </c>
      <c r="B58">
        <v>1426.7</v>
      </c>
      <c r="C58">
        <v>726.24</v>
      </c>
      <c r="D58">
        <v>11.08</v>
      </c>
      <c r="E58">
        <v>215.01</v>
      </c>
      <c r="F58">
        <v>1024.4100000000001</v>
      </c>
    </row>
    <row r="59" spans="1:6" x14ac:dyDescent="0.25">
      <c r="A59" s="2">
        <v>45808</v>
      </c>
      <c r="B59">
        <v>1552.87</v>
      </c>
      <c r="C59">
        <v>867.53</v>
      </c>
      <c r="D59">
        <v>18.079999999999998</v>
      </c>
      <c r="E59">
        <v>183.48</v>
      </c>
      <c r="F59">
        <v>938.95</v>
      </c>
    </row>
    <row r="60" spans="1:6" x14ac:dyDescent="0.25">
      <c r="A60" s="2">
        <v>45838</v>
      </c>
      <c r="B60">
        <v>1581.67</v>
      </c>
      <c r="C60">
        <v>732.02</v>
      </c>
      <c r="D60">
        <v>9.16</v>
      </c>
      <c r="E60">
        <v>171.82</v>
      </c>
      <c r="F60">
        <v>786.66</v>
      </c>
    </row>
    <row r="61" spans="1:6" x14ac:dyDescent="0.25">
      <c r="A61" s="2">
        <v>45869</v>
      </c>
      <c r="B61">
        <v>1655.31</v>
      </c>
      <c r="C61">
        <v>767.71</v>
      </c>
      <c r="D61">
        <v>6.31</v>
      </c>
      <c r="E61">
        <v>169.35</v>
      </c>
      <c r="F61">
        <v>794.41</v>
      </c>
    </row>
    <row r="62" spans="1:6" x14ac:dyDescent="0.25">
      <c r="A62" s="2">
        <v>45900</v>
      </c>
      <c r="B62">
        <v>1942.08</v>
      </c>
      <c r="C62">
        <v>914.62</v>
      </c>
      <c r="D62">
        <v>9.31</v>
      </c>
      <c r="E62">
        <v>203.09</v>
      </c>
      <c r="F62">
        <v>767.92</v>
      </c>
    </row>
    <row r="63" spans="1:6" x14ac:dyDescent="0.25">
      <c r="A63" s="2">
        <v>45930</v>
      </c>
      <c r="B63">
        <v>1909.55</v>
      </c>
      <c r="C63">
        <v>594.13</v>
      </c>
      <c r="D63">
        <v>4.3600000000000003</v>
      </c>
      <c r="E63">
        <v>227.43</v>
      </c>
      <c r="F63">
        <v>840.23</v>
      </c>
    </row>
    <row r="64" spans="1:6" x14ac:dyDescent="0.25">
      <c r="A64" s="2">
        <v>45961</v>
      </c>
      <c r="B64">
        <v>1909.55</v>
      </c>
      <c r="C64">
        <v>594.13</v>
      </c>
      <c r="D64">
        <v>4.3600000000000003</v>
      </c>
      <c r="E64">
        <v>227.43</v>
      </c>
      <c r="F64">
        <v>840.23</v>
      </c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3B54-97E0-4822-A99A-A551010D36AC}">
  <dimension ref="A1:M78"/>
  <sheetViews>
    <sheetView workbookViewId="0">
      <selection activeCell="D26" sqref="D26"/>
    </sheetView>
  </sheetViews>
  <sheetFormatPr defaultRowHeight="15" x14ac:dyDescent="0.25"/>
  <cols>
    <col min="1" max="1" width="10.140625" bestFit="1" customWidth="1"/>
    <col min="2" max="2" width="22.85546875" bestFit="1" customWidth="1"/>
    <col min="3" max="3" width="32" bestFit="1" customWidth="1"/>
    <col min="4" max="4" width="34.28515625" bestFit="1" customWidth="1"/>
    <col min="5" max="5" width="24.85546875" bestFit="1" customWidth="1"/>
    <col min="6" max="6" width="18.5703125" bestFit="1" customWidth="1"/>
    <col min="7" max="7" width="19.85546875" bestFit="1" customWidth="1"/>
    <col min="8" max="8" width="19.42578125" bestFit="1" customWidth="1"/>
    <col min="9" max="9" width="18.140625" bestFit="1" customWidth="1"/>
    <col min="10" max="10" width="27.42578125" bestFit="1" customWidth="1"/>
    <col min="11" max="11" width="39" bestFit="1" customWidth="1"/>
    <col min="12" max="12" width="28.7109375" bestFit="1" customWidth="1"/>
    <col min="13" max="13" width="40.28515625" bestFit="1" customWidth="1"/>
  </cols>
  <sheetData>
    <row r="1" spans="1:13" x14ac:dyDescent="0.25">
      <c r="A1" t="s">
        <v>0</v>
      </c>
      <c r="B1" s="1">
        <v>44197</v>
      </c>
    </row>
    <row r="2" spans="1:13" x14ac:dyDescent="0.25">
      <c r="A2" t="s">
        <v>1</v>
      </c>
    </row>
    <row r="3" spans="1:13" x14ac:dyDescent="0.25"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57</v>
      </c>
      <c r="L3" t="s">
        <v>56</v>
      </c>
      <c r="M3" t="s">
        <v>58</v>
      </c>
    </row>
    <row r="4" spans="1:13" x14ac:dyDescent="0.25">
      <c r="B4" t="s">
        <v>20</v>
      </c>
      <c r="C4" t="s">
        <v>21</v>
      </c>
      <c r="D4" t="s">
        <v>22</v>
      </c>
      <c r="E4" t="s">
        <v>23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24</v>
      </c>
      <c r="M4" t="s">
        <v>25</v>
      </c>
    </row>
    <row r="5" spans="1:13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  <c r="E5" t="str">
        <f>_xll.BFieldInfo(E$6)</f>
        <v>Last Price</v>
      </c>
      <c r="F5" t="str">
        <f>_xll.BFieldInfo(F$6)</f>
        <v>Last Price</v>
      </c>
      <c r="G5" t="str">
        <f>_xll.BFieldInfo(G$6)</f>
        <v>Last Price</v>
      </c>
      <c r="H5" t="str">
        <f>_xll.BFieldInfo(H$6)</f>
        <v>Last Price</v>
      </c>
      <c r="I5" t="str">
        <f>_xll.BFieldInfo(I$6)</f>
        <v>Last Price</v>
      </c>
      <c r="J5" t="str">
        <f>_xll.BFieldInfo(J$6)</f>
        <v>Last Price</v>
      </c>
      <c r="K5" t="str">
        <f>_xll.BFieldInfo(K$6)</f>
        <v>Last Price</v>
      </c>
      <c r="L5" t="str">
        <f>_xll.BFieldInfo(L$6)</f>
        <v>Last Price</v>
      </c>
      <c r="M5" t="str">
        <f>_xll.BFieldInfo(M$6)</f>
        <v>Last Price</v>
      </c>
    </row>
    <row r="6" spans="1:13" x14ac:dyDescent="0.25">
      <c r="A6" t="s">
        <v>12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</row>
    <row r="7" spans="1:13" x14ac:dyDescent="0.25">
      <c r="A7" s="2">
        <f>_xll.BDH(B$4,B$6,$B1,$B2,"Dir=V","Per=M","Days=A","Dts=S","cols=2;rows=72")</f>
        <v>44227</v>
      </c>
      <c r="B7" t="s">
        <v>14</v>
      </c>
      <c r="C7" t="str">
        <f>_xll.BDH(C$4,C$6,$B1,$B2,"Dir=V","Per=M","Days=A","Dts=H","cols=1;rows=72")</f>
        <v>#N/A N/A</v>
      </c>
      <c r="D7" t="str">
        <f>_xll.BDH(D$4,D$6,$B1,$B2,"Dir=V","Per=M","Days=A","Dts=H","cols=1;rows=72")</f>
        <v>#N/A N/A</v>
      </c>
      <c r="E7" t="str">
        <f>_xll.BDH(E$4,E$6,$B1,$B2,"Dir=V","Per=M","Days=A","Dts=H","cols=1;rows=72")</f>
        <v>#N/A N/A</v>
      </c>
      <c r="F7">
        <f>_xll.BDH(F$4,F$6,$B1,$B2,"Dir=V","Per=M","Days=A","Dts=H","cols=1;rows=58")</f>
        <v>44</v>
      </c>
      <c r="G7">
        <f>_xll.BDH(G$4,G$6,$B1,$B2,"Dir=V","Per=M","Days=A","Dts=H","cols=1;rows=58")</f>
        <v>167</v>
      </c>
      <c r="H7">
        <f>_xll.BDH(H$4,H$6,$B1,$B2,"Dir=V","Per=M","Days=A","Dts=H","cols=1;rows=58")</f>
        <v>1384</v>
      </c>
      <c r="I7">
        <f>_xll.BDH(I$4,I$6,$B1,$B2,"Dir=V","Per=M","Days=A","Dts=H","cols=1;rows=58")</f>
        <v>377</v>
      </c>
      <c r="J7">
        <f>_xll.BDH(J$4,J$6,$B1,$B2,"Dir=V","Per=M","Days=A","Dts=H","cols=1;rows=58")</f>
        <v>484</v>
      </c>
      <c r="K7">
        <f>_xll.BDH(K$4,K$6,$B1,$B2,"Dir=V","Per=M","Days=A","Dts=H","cols=1;rows=58")</f>
        <v>-160</v>
      </c>
      <c r="L7">
        <f>_xll.BDH(L$4,L$6,$B1,$B2,"Dir=V","Per=M","Days=A","Dts=H","cols=1;rows=58")</f>
        <v>1718</v>
      </c>
      <c r="M7">
        <f>_xll.BDH(M$4,M$6,$B1,$B2,"Dir=V","Per=M","Days=A","Dts=H","cols=1;rows=58")</f>
        <v>259</v>
      </c>
    </row>
    <row r="8" spans="1:13" x14ac:dyDescent="0.25">
      <c r="A8" s="2">
        <v>44255</v>
      </c>
      <c r="B8" t="s">
        <v>14</v>
      </c>
      <c r="C8" t="s">
        <v>14</v>
      </c>
      <c r="D8" t="s">
        <v>14</v>
      </c>
      <c r="E8" t="s">
        <v>14</v>
      </c>
      <c r="F8">
        <v>51</v>
      </c>
      <c r="G8">
        <v>166</v>
      </c>
      <c r="H8">
        <v>1143</v>
      </c>
      <c r="I8">
        <v>344</v>
      </c>
      <c r="J8">
        <v>448</v>
      </c>
      <c r="K8">
        <v>-101</v>
      </c>
      <c r="L8">
        <v>1444</v>
      </c>
      <c r="M8">
        <v>219</v>
      </c>
    </row>
    <row r="9" spans="1:13" x14ac:dyDescent="0.25">
      <c r="A9" s="2">
        <v>44286</v>
      </c>
      <c r="B9" t="s">
        <v>14</v>
      </c>
      <c r="C9" t="s">
        <v>14</v>
      </c>
      <c r="D9" t="s">
        <v>14</v>
      </c>
      <c r="E9" t="s">
        <v>14</v>
      </c>
      <c r="F9">
        <v>36</v>
      </c>
      <c r="G9">
        <v>164</v>
      </c>
      <c r="H9">
        <v>1239</v>
      </c>
      <c r="I9">
        <v>456</v>
      </c>
      <c r="J9">
        <v>510</v>
      </c>
      <c r="K9">
        <v>49</v>
      </c>
      <c r="L9">
        <v>1705</v>
      </c>
      <c r="M9">
        <v>271</v>
      </c>
    </row>
    <row r="10" spans="1:13" x14ac:dyDescent="0.25">
      <c r="A10" s="2">
        <v>44316</v>
      </c>
      <c r="B10" t="s">
        <v>14</v>
      </c>
      <c r="C10" t="s">
        <v>14</v>
      </c>
      <c r="D10" t="s">
        <v>14</v>
      </c>
      <c r="E10" t="s">
        <v>14</v>
      </c>
      <c r="F10">
        <v>22</v>
      </c>
      <c r="G10">
        <v>120</v>
      </c>
      <c r="H10">
        <v>1435</v>
      </c>
      <c r="I10">
        <v>444</v>
      </c>
      <c r="J10">
        <v>515</v>
      </c>
      <c r="K10">
        <v>205</v>
      </c>
      <c r="L10">
        <v>1754</v>
      </c>
      <c r="M10">
        <v>280</v>
      </c>
    </row>
    <row r="11" spans="1:13" x14ac:dyDescent="0.25">
      <c r="A11" s="2">
        <v>44347</v>
      </c>
      <c r="B11" t="s">
        <v>14</v>
      </c>
      <c r="C11" t="s">
        <v>14</v>
      </c>
      <c r="D11" t="s">
        <v>14</v>
      </c>
      <c r="E11" t="s">
        <v>14</v>
      </c>
      <c r="F11">
        <v>31</v>
      </c>
      <c r="G11">
        <v>72</v>
      </c>
      <c r="H11">
        <v>1256</v>
      </c>
      <c r="I11">
        <v>475</v>
      </c>
      <c r="J11">
        <v>523</v>
      </c>
      <c r="K11">
        <v>262</v>
      </c>
      <c r="L11">
        <v>1765</v>
      </c>
      <c r="M11">
        <v>301</v>
      </c>
    </row>
    <row r="12" spans="1:13" x14ac:dyDescent="0.25">
      <c r="A12" s="2">
        <v>44377</v>
      </c>
      <c r="B12" t="s">
        <v>14</v>
      </c>
      <c r="C12" t="s">
        <v>14</v>
      </c>
      <c r="D12" t="s">
        <v>14</v>
      </c>
      <c r="E12" t="s">
        <v>14</v>
      </c>
      <c r="F12">
        <v>37</v>
      </c>
      <c r="G12">
        <v>69</v>
      </c>
      <c r="H12">
        <v>1391</v>
      </c>
      <c r="I12">
        <v>419</v>
      </c>
      <c r="J12">
        <v>496</v>
      </c>
      <c r="K12">
        <v>268</v>
      </c>
      <c r="L12">
        <v>1754</v>
      </c>
      <c r="M12">
        <v>301</v>
      </c>
    </row>
    <row r="13" spans="1:13" x14ac:dyDescent="0.25">
      <c r="A13" s="2">
        <v>44408</v>
      </c>
      <c r="B13">
        <v>64.31</v>
      </c>
      <c r="C13">
        <v>61.79</v>
      </c>
      <c r="D13">
        <v>0.26</v>
      </c>
      <c r="E13">
        <v>0.63</v>
      </c>
      <c r="F13">
        <v>30</v>
      </c>
      <c r="G13">
        <v>74</v>
      </c>
      <c r="H13">
        <v>1244</v>
      </c>
      <c r="I13">
        <v>453</v>
      </c>
      <c r="J13">
        <v>490</v>
      </c>
      <c r="K13">
        <v>274</v>
      </c>
      <c r="L13">
        <v>1755</v>
      </c>
      <c r="M13">
        <v>289</v>
      </c>
    </row>
    <row r="14" spans="1:13" x14ac:dyDescent="0.25">
      <c r="A14" s="2">
        <v>44439</v>
      </c>
      <c r="B14">
        <v>69.61</v>
      </c>
      <c r="C14">
        <v>67</v>
      </c>
      <c r="D14">
        <v>0.26</v>
      </c>
      <c r="E14">
        <v>0.6</v>
      </c>
      <c r="F14">
        <v>38</v>
      </c>
      <c r="G14">
        <v>76</v>
      </c>
      <c r="H14">
        <v>1365</v>
      </c>
      <c r="I14">
        <v>480</v>
      </c>
      <c r="J14">
        <v>502</v>
      </c>
      <c r="K14">
        <v>234</v>
      </c>
      <c r="L14">
        <v>1772</v>
      </c>
      <c r="M14">
        <v>288</v>
      </c>
    </row>
    <row r="15" spans="1:13" x14ac:dyDescent="0.25">
      <c r="A15" s="2">
        <v>44469</v>
      </c>
      <c r="B15">
        <v>72.17</v>
      </c>
      <c r="C15">
        <v>69.930000000000007</v>
      </c>
      <c r="D15">
        <v>0.25</v>
      </c>
      <c r="E15">
        <v>0.71</v>
      </c>
      <c r="F15">
        <v>41</v>
      </c>
      <c r="G15">
        <v>78</v>
      </c>
      <c r="H15">
        <v>1315</v>
      </c>
      <c r="I15">
        <v>341</v>
      </c>
      <c r="J15">
        <v>510</v>
      </c>
      <c r="K15">
        <v>80</v>
      </c>
      <c r="L15">
        <v>1776</v>
      </c>
      <c r="M15">
        <v>260</v>
      </c>
    </row>
    <row r="16" spans="1:13" x14ac:dyDescent="0.25">
      <c r="A16" s="2">
        <v>44500</v>
      </c>
      <c r="B16">
        <v>76.2</v>
      </c>
      <c r="C16">
        <v>65.7</v>
      </c>
      <c r="D16">
        <v>0.18</v>
      </c>
      <c r="E16">
        <v>0.83</v>
      </c>
      <c r="F16">
        <v>40</v>
      </c>
      <c r="G16">
        <v>101</v>
      </c>
      <c r="H16">
        <v>1237</v>
      </c>
      <c r="I16">
        <v>434</v>
      </c>
      <c r="J16">
        <v>515</v>
      </c>
      <c r="K16">
        <v>-42</v>
      </c>
      <c r="L16">
        <v>1814</v>
      </c>
      <c r="M16">
        <v>276</v>
      </c>
    </row>
    <row r="17" spans="1:13" x14ac:dyDescent="0.25">
      <c r="A17" s="2">
        <v>44530</v>
      </c>
      <c r="B17">
        <v>72.11</v>
      </c>
      <c r="C17">
        <v>55.33</v>
      </c>
      <c r="D17">
        <v>0.19</v>
      </c>
      <c r="E17">
        <v>0.87</v>
      </c>
      <c r="F17">
        <v>33</v>
      </c>
      <c r="G17">
        <v>126</v>
      </c>
      <c r="H17">
        <v>1502</v>
      </c>
      <c r="I17">
        <v>408</v>
      </c>
      <c r="J17">
        <v>536</v>
      </c>
      <c r="K17">
        <v>-194</v>
      </c>
      <c r="L17">
        <v>1826</v>
      </c>
      <c r="M17">
        <v>287</v>
      </c>
    </row>
    <row r="18" spans="1:13" x14ac:dyDescent="0.25">
      <c r="A18" s="2">
        <v>44561</v>
      </c>
      <c r="B18">
        <v>63.84</v>
      </c>
      <c r="C18">
        <v>43.92</v>
      </c>
      <c r="D18">
        <v>0.24</v>
      </c>
      <c r="E18">
        <v>1.1399999999999999</v>
      </c>
      <c r="F18">
        <v>33</v>
      </c>
      <c r="G18">
        <v>157</v>
      </c>
      <c r="H18">
        <v>1402</v>
      </c>
      <c r="I18">
        <v>323</v>
      </c>
      <c r="J18">
        <v>544</v>
      </c>
      <c r="K18">
        <v>-195</v>
      </c>
      <c r="L18">
        <v>1825</v>
      </c>
      <c r="M18">
        <v>294</v>
      </c>
    </row>
    <row r="19" spans="1:13" x14ac:dyDescent="0.25">
      <c r="A19" s="2">
        <v>44592</v>
      </c>
      <c r="B19">
        <v>48.02</v>
      </c>
      <c r="C19">
        <v>36.619999999999997</v>
      </c>
      <c r="D19">
        <v>0.22</v>
      </c>
      <c r="E19">
        <v>1.29</v>
      </c>
      <c r="F19">
        <v>38</v>
      </c>
      <c r="G19">
        <v>168</v>
      </c>
      <c r="H19">
        <v>1409</v>
      </c>
      <c r="I19">
        <v>289</v>
      </c>
      <c r="J19">
        <v>527</v>
      </c>
      <c r="K19">
        <v>-163</v>
      </c>
      <c r="L19">
        <v>1754</v>
      </c>
      <c r="M19">
        <v>271</v>
      </c>
    </row>
    <row r="20" spans="1:13" x14ac:dyDescent="0.25">
      <c r="A20" s="2">
        <v>44620</v>
      </c>
      <c r="B20">
        <v>37.729999999999997</v>
      </c>
      <c r="C20">
        <v>34.17</v>
      </c>
      <c r="D20">
        <v>0.15</v>
      </c>
      <c r="E20">
        <v>1.24</v>
      </c>
      <c r="F20">
        <v>31</v>
      </c>
      <c r="G20">
        <v>188</v>
      </c>
      <c r="H20">
        <v>1352</v>
      </c>
      <c r="I20">
        <v>329</v>
      </c>
      <c r="J20">
        <v>533</v>
      </c>
      <c r="K20">
        <v>-100</v>
      </c>
      <c r="L20">
        <v>1765</v>
      </c>
      <c r="M20">
        <v>272</v>
      </c>
    </row>
    <row r="21" spans="1:13" x14ac:dyDescent="0.25">
      <c r="A21" s="2">
        <v>44651</v>
      </c>
      <c r="B21">
        <v>36.270000000000003</v>
      </c>
      <c r="C21">
        <v>35.729999999999997</v>
      </c>
      <c r="D21">
        <v>0.26</v>
      </c>
      <c r="E21">
        <v>0.94</v>
      </c>
      <c r="F21">
        <v>42</v>
      </c>
      <c r="G21">
        <v>130</v>
      </c>
      <c r="H21">
        <v>1352</v>
      </c>
      <c r="I21">
        <v>380</v>
      </c>
      <c r="J21">
        <v>537</v>
      </c>
      <c r="K21">
        <v>97</v>
      </c>
      <c r="L21">
        <v>1843</v>
      </c>
      <c r="M21">
        <v>275</v>
      </c>
    </row>
    <row r="22" spans="1:13" x14ac:dyDescent="0.25">
      <c r="A22" s="2">
        <v>44681</v>
      </c>
      <c r="B22">
        <v>40.21</v>
      </c>
      <c r="C22">
        <v>41.74</v>
      </c>
      <c r="D22">
        <v>0.21</v>
      </c>
      <c r="E22">
        <v>0.68</v>
      </c>
      <c r="F22">
        <v>31</v>
      </c>
      <c r="G22">
        <v>92</v>
      </c>
      <c r="H22">
        <v>1421</v>
      </c>
      <c r="I22">
        <v>474</v>
      </c>
      <c r="J22">
        <v>538</v>
      </c>
      <c r="K22">
        <v>233</v>
      </c>
      <c r="L22">
        <v>1844</v>
      </c>
      <c r="M22">
        <v>298</v>
      </c>
    </row>
    <row r="23" spans="1:13" x14ac:dyDescent="0.25">
      <c r="A23" s="2">
        <v>44712</v>
      </c>
      <c r="B23">
        <v>49.67</v>
      </c>
      <c r="C23">
        <v>49.76</v>
      </c>
      <c r="D23">
        <v>0.21</v>
      </c>
      <c r="E23">
        <v>0.54</v>
      </c>
      <c r="F23">
        <v>35</v>
      </c>
      <c r="G23">
        <v>74</v>
      </c>
      <c r="H23">
        <v>1372</v>
      </c>
      <c r="I23">
        <v>531</v>
      </c>
      <c r="J23">
        <v>564</v>
      </c>
      <c r="K23">
        <v>286</v>
      </c>
      <c r="L23">
        <v>1855</v>
      </c>
      <c r="M23">
        <v>289</v>
      </c>
    </row>
    <row r="24" spans="1:13" x14ac:dyDescent="0.25">
      <c r="A24" s="2">
        <v>44742</v>
      </c>
      <c r="B24">
        <v>54.13</v>
      </c>
      <c r="C24">
        <v>58.81</v>
      </c>
      <c r="D24">
        <v>0.28000000000000003</v>
      </c>
      <c r="E24">
        <v>0.56999999999999995</v>
      </c>
      <c r="F24">
        <v>29</v>
      </c>
      <c r="G24">
        <v>76</v>
      </c>
      <c r="H24">
        <v>1527</v>
      </c>
      <c r="I24">
        <v>458</v>
      </c>
      <c r="J24">
        <v>578</v>
      </c>
      <c r="K24">
        <v>307</v>
      </c>
      <c r="L24">
        <v>1869</v>
      </c>
      <c r="M24">
        <v>296</v>
      </c>
    </row>
    <row r="25" spans="1:13" x14ac:dyDescent="0.25">
      <c r="A25" s="2">
        <v>44773</v>
      </c>
      <c r="B25">
        <v>64.16</v>
      </c>
      <c r="C25">
        <v>70.84</v>
      </c>
      <c r="D25">
        <v>0.27</v>
      </c>
      <c r="E25">
        <v>0.61</v>
      </c>
      <c r="F25">
        <v>30</v>
      </c>
      <c r="G25">
        <v>86</v>
      </c>
      <c r="H25">
        <v>1351</v>
      </c>
      <c r="I25">
        <v>381</v>
      </c>
      <c r="J25">
        <v>592</v>
      </c>
      <c r="K25">
        <v>279</v>
      </c>
      <c r="L25">
        <v>1910</v>
      </c>
      <c r="M25">
        <v>292</v>
      </c>
    </row>
    <row r="26" spans="1:13" x14ac:dyDescent="0.25">
      <c r="A26" s="2">
        <v>44804</v>
      </c>
      <c r="B26">
        <v>72.84</v>
      </c>
      <c r="C26">
        <v>80.81</v>
      </c>
      <c r="D26">
        <v>0.3</v>
      </c>
      <c r="E26">
        <v>0.56000000000000005</v>
      </c>
      <c r="F26">
        <v>49</v>
      </c>
      <c r="G26">
        <v>87</v>
      </c>
      <c r="H26">
        <v>1461</v>
      </c>
      <c r="I26">
        <v>380</v>
      </c>
      <c r="J26">
        <v>583</v>
      </c>
      <c r="K26">
        <v>258</v>
      </c>
      <c r="L26">
        <v>1923</v>
      </c>
      <c r="M26">
        <v>294</v>
      </c>
    </row>
    <row r="27" spans="1:13" x14ac:dyDescent="0.25">
      <c r="A27" s="2">
        <v>44834</v>
      </c>
      <c r="B27">
        <v>81.98</v>
      </c>
      <c r="C27">
        <v>81.260000000000005</v>
      </c>
      <c r="D27">
        <v>0.22</v>
      </c>
      <c r="E27">
        <v>0.75</v>
      </c>
      <c r="F27">
        <v>40</v>
      </c>
      <c r="G27">
        <v>91</v>
      </c>
      <c r="H27">
        <v>1299</v>
      </c>
      <c r="I27">
        <v>475</v>
      </c>
      <c r="J27">
        <v>596</v>
      </c>
      <c r="K27">
        <v>95</v>
      </c>
      <c r="L27">
        <v>1977</v>
      </c>
      <c r="M27">
        <v>283</v>
      </c>
    </row>
    <row r="28" spans="1:13" x14ac:dyDescent="0.25">
      <c r="A28" s="2">
        <v>44865</v>
      </c>
      <c r="B28">
        <v>86.72</v>
      </c>
      <c r="C28">
        <v>75.59</v>
      </c>
      <c r="D28">
        <v>0.22</v>
      </c>
      <c r="E28">
        <v>0.76</v>
      </c>
      <c r="F28">
        <v>41</v>
      </c>
      <c r="G28">
        <v>119</v>
      </c>
      <c r="H28">
        <v>1439</v>
      </c>
      <c r="I28">
        <v>421</v>
      </c>
      <c r="J28">
        <v>581</v>
      </c>
      <c r="K28">
        <v>-76</v>
      </c>
      <c r="L28">
        <v>1958</v>
      </c>
      <c r="M28">
        <v>274</v>
      </c>
    </row>
    <row r="29" spans="1:13" x14ac:dyDescent="0.25">
      <c r="A29" s="2">
        <v>44895</v>
      </c>
      <c r="B29">
        <v>87.67</v>
      </c>
      <c r="C29">
        <v>64.2</v>
      </c>
      <c r="D29">
        <v>0.23</v>
      </c>
      <c r="E29">
        <v>0.99</v>
      </c>
      <c r="F29">
        <v>40</v>
      </c>
      <c r="G29">
        <v>133</v>
      </c>
      <c r="H29">
        <v>1330</v>
      </c>
      <c r="I29">
        <v>424</v>
      </c>
      <c r="J29">
        <v>560</v>
      </c>
      <c r="K29">
        <v>-163</v>
      </c>
      <c r="L29">
        <v>1928</v>
      </c>
      <c r="M29">
        <v>288</v>
      </c>
    </row>
    <row r="30" spans="1:13" x14ac:dyDescent="0.25">
      <c r="A30" s="2">
        <v>44926</v>
      </c>
      <c r="B30">
        <v>76.64</v>
      </c>
      <c r="C30">
        <v>54.49</v>
      </c>
      <c r="D30">
        <v>0.15</v>
      </c>
      <c r="E30">
        <v>1.1000000000000001</v>
      </c>
      <c r="F30">
        <v>35</v>
      </c>
      <c r="G30">
        <v>138</v>
      </c>
      <c r="H30">
        <v>1470</v>
      </c>
      <c r="I30">
        <v>427</v>
      </c>
      <c r="J30">
        <v>526</v>
      </c>
      <c r="K30">
        <v>-138</v>
      </c>
      <c r="L30">
        <v>1819</v>
      </c>
      <c r="M30">
        <v>262</v>
      </c>
    </row>
    <row r="31" spans="1:13" x14ac:dyDescent="0.25">
      <c r="A31" s="2">
        <v>44957</v>
      </c>
      <c r="B31">
        <v>68.540000000000006</v>
      </c>
      <c r="C31">
        <v>43.06</v>
      </c>
      <c r="D31">
        <v>0.24</v>
      </c>
      <c r="E31">
        <v>1.1499999999999999</v>
      </c>
      <c r="F31">
        <v>40</v>
      </c>
      <c r="G31">
        <v>166</v>
      </c>
      <c r="H31">
        <v>1459</v>
      </c>
      <c r="I31">
        <v>442</v>
      </c>
      <c r="J31">
        <v>572</v>
      </c>
      <c r="K31">
        <v>-139</v>
      </c>
      <c r="L31">
        <v>1913</v>
      </c>
      <c r="M31">
        <v>266</v>
      </c>
    </row>
    <row r="32" spans="1:13" x14ac:dyDescent="0.25">
      <c r="A32" s="2">
        <v>44985</v>
      </c>
      <c r="B32">
        <v>60.45</v>
      </c>
      <c r="C32">
        <v>39.1</v>
      </c>
      <c r="D32">
        <v>0.2</v>
      </c>
      <c r="E32">
        <v>1.07</v>
      </c>
      <c r="F32">
        <v>34</v>
      </c>
      <c r="G32">
        <v>172</v>
      </c>
      <c r="H32">
        <v>1578</v>
      </c>
      <c r="I32">
        <v>374</v>
      </c>
      <c r="J32">
        <v>580</v>
      </c>
      <c r="K32">
        <v>-65</v>
      </c>
      <c r="L32">
        <v>1915</v>
      </c>
      <c r="M32">
        <v>269</v>
      </c>
    </row>
    <row r="33" spans="1:13" x14ac:dyDescent="0.25">
      <c r="A33" s="2">
        <v>45016</v>
      </c>
      <c r="B33">
        <v>55.2</v>
      </c>
      <c r="C33">
        <v>40.270000000000003</v>
      </c>
      <c r="D33">
        <v>0.24</v>
      </c>
      <c r="E33">
        <v>0.74</v>
      </c>
      <c r="F33">
        <v>33</v>
      </c>
      <c r="G33">
        <v>139</v>
      </c>
      <c r="H33">
        <v>1807</v>
      </c>
      <c r="I33">
        <v>479</v>
      </c>
      <c r="J33">
        <v>595</v>
      </c>
      <c r="K33">
        <v>111</v>
      </c>
      <c r="L33">
        <v>1962</v>
      </c>
      <c r="M33">
        <v>278</v>
      </c>
    </row>
    <row r="34" spans="1:13" x14ac:dyDescent="0.25">
      <c r="A34" s="2">
        <v>45046</v>
      </c>
      <c r="B34">
        <v>60.6</v>
      </c>
      <c r="C34">
        <v>47.42</v>
      </c>
      <c r="D34">
        <v>0.3</v>
      </c>
      <c r="E34">
        <v>0.65</v>
      </c>
      <c r="F34">
        <v>32</v>
      </c>
      <c r="G34">
        <v>82</v>
      </c>
      <c r="H34">
        <v>1526</v>
      </c>
      <c r="I34">
        <v>461</v>
      </c>
      <c r="J34">
        <v>606</v>
      </c>
      <c r="K34">
        <v>263</v>
      </c>
      <c r="L34">
        <v>1988</v>
      </c>
      <c r="M34">
        <v>286</v>
      </c>
    </row>
    <row r="35" spans="1:13" x14ac:dyDescent="0.25">
      <c r="A35" s="2">
        <v>45077</v>
      </c>
      <c r="B35">
        <v>71.05</v>
      </c>
      <c r="C35">
        <v>59.02</v>
      </c>
      <c r="D35">
        <v>0.31</v>
      </c>
      <c r="E35">
        <v>0.47</v>
      </c>
      <c r="F35">
        <v>36</v>
      </c>
      <c r="G35">
        <v>66</v>
      </c>
      <c r="H35">
        <v>1527</v>
      </c>
      <c r="I35">
        <v>409</v>
      </c>
      <c r="J35">
        <v>613</v>
      </c>
      <c r="K35">
        <v>286</v>
      </c>
      <c r="L35">
        <v>1985</v>
      </c>
      <c r="M35">
        <v>288</v>
      </c>
    </row>
    <row r="36" spans="1:13" x14ac:dyDescent="0.25">
      <c r="A36" s="2">
        <v>45107</v>
      </c>
      <c r="B36">
        <v>79.19</v>
      </c>
      <c r="C36">
        <v>70.47</v>
      </c>
      <c r="D36">
        <v>0.3</v>
      </c>
      <c r="E36">
        <v>0.55000000000000004</v>
      </c>
      <c r="F36">
        <v>35</v>
      </c>
      <c r="G36">
        <v>70</v>
      </c>
      <c r="H36">
        <v>1529</v>
      </c>
      <c r="I36">
        <v>403</v>
      </c>
      <c r="J36">
        <v>625</v>
      </c>
      <c r="K36">
        <v>322</v>
      </c>
      <c r="L36">
        <v>1997</v>
      </c>
      <c r="M36">
        <v>284</v>
      </c>
    </row>
    <row r="37" spans="1:13" x14ac:dyDescent="0.25">
      <c r="A37" s="2">
        <v>45138</v>
      </c>
      <c r="B37">
        <v>86.68</v>
      </c>
      <c r="C37">
        <v>79.900000000000006</v>
      </c>
      <c r="D37">
        <v>0.37</v>
      </c>
      <c r="E37">
        <v>0.6</v>
      </c>
      <c r="F37">
        <v>36</v>
      </c>
      <c r="G37">
        <v>70</v>
      </c>
      <c r="H37">
        <v>1551</v>
      </c>
      <c r="I37">
        <v>383</v>
      </c>
      <c r="J37">
        <v>633</v>
      </c>
      <c r="K37">
        <v>292</v>
      </c>
      <c r="L37">
        <v>2029</v>
      </c>
      <c r="M37">
        <v>289</v>
      </c>
    </row>
    <row r="38" spans="1:13" x14ac:dyDescent="0.25">
      <c r="A38" s="2">
        <v>45169</v>
      </c>
      <c r="B38">
        <v>96.36</v>
      </c>
      <c r="C38">
        <v>90.89</v>
      </c>
      <c r="D38">
        <v>0.28000000000000003</v>
      </c>
      <c r="E38">
        <v>0.63</v>
      </c>
      <c r="F38">
        <v>35</v>
      </c>
      <c r="G38">
        <v>82</v>
      </c>
      <c r="H38">
        <v>1484</v>
      </c>
      <c r="I38">
        <v>461</v>
      </c>
      <c r="J38">
        <v>657</v>
      </c>
      <c r="K38">
        <v>295</v>
      </c>
      <c r="L38">
        <v>2056</v>
      </c>
      <c r="M38">
        <v>288</v>
      </c>
    </row>
    <row r="39" spans="1:13" x14ac:dyDescent="0.25">
      <c r="A39" s="2">
        <v>45199</v>
      </c>
      <c r="B39">
        <v>101.4</v>
      </c>
      <c r="C39">
        <v>90.04</v>
      </c>
      <c r="D39">
        <v>0.33</v>
      </c>
      <c r="E39">
        <v>0.63</v>
      </c>
      <c r="F39">
        <v>37</v>
      </c>
      <c r="G39">
        <v>83</v>
      </c>
      <c r="H39">
        <v>1636</v>
      </c>
      <c r="I39">
        <v>477</v>
      </c>
      <c r="J39">
        <v>655</v>
      </c>
      <c r="K39">
        <v>116</v>
      </c>
      <c r="L39">
        <v>2079</v>
      </c>
      <c r="M39">
        <v>274</v>
      </c>
    </row>
    <row r="40" spans="1:13" x14ac:dyDescent="0.25">
      <c r="A40" s="2">
        <v>45230</v>
      </c>
      <c r="B40">
        <v>97.91</v>
      </c>
      <c r="C40">
        <v>80.540000000000006</v>
      </c>
      <c r="D40">
        <v>0.3</v>
      </c>
      <c r="E40">
        <v>0.86</v>
      </c>
      <c r="F40">
        <v>35</v>
      </c>
      <c r="G40">
        <v>93</v>
      </c>
      <c r="H40">
        <v>1705</v>
      </c>
      <c r="I40">
        <v>481</v>
      </c>
      <c r="J40">
        <v>647</v>
      </c>
      <c r="K40">
        <v>-77</v>
      </c>
      <c r="L40">
        <v>2094</v>
      </c>
      <c r="M40">
        <v>269</v>
      </c>
    </row>
    <row r="41" spans="1:13" x14ac:dyDescent="0.25">
      <c r="A41" s="2">
        <v>45260</v>
      </c>
      <c r="B41">
        <v>90.12</v>
      </c>
      <c r="C41">
        <v>64.459999999999994</v>
      </c>
      <c r="D41">
        <v>0.42</v>
      </c>
      <c r="E41">
        <v>0.98</v>
      </c>
      <c r="F41">
        <v>41</v>
      </c>
      <c r="G41">
        <v>123</v>
      </c>
      <c r="H41">
        <v>1786</v>
      </c>
      <c r="I41">
        <v>448</v>
      </c>
      <c r="J41">
        <v>646</v>
      </c>
      <c r="K41">
        <v>-189</v>
      </c>
      <c r="L41">
        <v>2121</v>
      </c>
      <c r="M41">
        <v>262</v>
      </c>
    </row>
    <row r="42" spans="1:13" x14ac:dyDescent="0.25">
      <c r="A42" s="2">
        <v>45291</v>
      </c>
      <c r="B42">
        <v>79.64</v>
      </c>
      <c r="C42">
        <v>50.12</v>
      </c>
      <c r="D42">
        <v>0.32</v>
      </c>
      <c r="E42">
        <v>1.05</v>
      </c>
      <c r="F42">
        <v>37</v>
      </c>
      <c r="G42">
        <v>146</v>
      </c>
      <c r="H42">
        <v>1823</v>
      </c>
      <c r="I42">
        <v>435</v>
      </c>
      <c r="J42">
        <v>645</v>
      </c>
      <c r="K42">
        <v>-209</v>
      </c>
      <c r="L42">
        <v>2108</v>
      </c>
      <c r="M42">
        <v>283</v>
      </c>
    </row>
    <row r="43" spans="1:13" x14ac:dyDescent="0.25">
      <c r="A43" s="2">
        <v>45322</v>
      </c>
      <c r="B43">
        <v>59.95</v>
      </c>
      <c r="C43">
        <v>41.66</v>
      </c>
      <c r="D43">
        <v>0.27</v>
      </c>
      <c r="E43">
        <v>1.33</v>
      </c>
      <c r="F43">
        <v>47</v>
      </c>
      <c r="G43">
        <v>131</v>
      </c>
      <c r="H43">
        <v>1689</v>
      </c>
      <c r="I43">
        <v>362</v>
      </c>
      <c r="J43">
        <v>602</v>
      </c>
      <c r="K43">
        <v>-180</v>
      </c>
      <c r="L43">
        <v>1986</v>
      </c>
      <c r="M43">
        <v>268</v>
      </c>
    </row>
    <row r="44" spans="1:13" x14ac:dyDescent="0.25">
      <c r="A44" s="2">
        <v>45351</v>
      </c>
      <c r="B44">
        <v>49.58</v>
      </c>
      <c r="C44">
        <v>35.71</v>
      </c>
      <c r="D44">
        <v>0.25</v>
      </c>
      <c r="E44">
        <v>1.02</v>
      </c>
      <c r="F44">
        <v>39</v>
      </c>
      <c r="G44">
        <v>156</v>
      </c>
      <c r="H44">
        <v>1870</v>
      </c>
      <c r="I44">
        <v>486</v>
      </c>
      <c r="J44">
        <v>642</v>
      </c>
      <c r="K44">
        <v>-96</v>
      </c>
      <c r="L44">
        <v>2124</v>
      </c>
      <c r="M44">
        <v>253</v>
      </c>
    </row>
    <row r="45" spans="1:13" x14ac:dyDescent="0.25">
      <c r="A45" s="2">
        <v>45382</v>
      </c>
      <c r="B45">
        <v>51.59</v>
      </c>
      <c r="C45">
        <v>35.03</v>
      </c>
      <c r="D45">
        <v>0.34</v>
      </c>
      <c r="E45">
        <v>0.79</v>
      </c>
      <c r="F45">
        <v>38</v>
      </c>
      <c r="G45">
        <v>121</v>
      </c>
      <c r="H45">
        <v>1687</v>
      </c>
      <c r="I45">
        <v>508</v>
      </c>
      <c r="J45">
        <v>645</v>
      </c>
      <c r="K45">
        <v>110</v>
      </c>
      <c r="L45">
        <v>2148</v>
      </c>
      <c r="M45">
        <v>274</v>
      </c>
    </row>
    <row r="46" spans="1:13" x14ac:dyDescent="0.25">
      <c r="A46" s="2">
        <v>45412</v>
      </c>
      <c r="B46">
        <v>57.13</v>
      </c>
      <c r="C46">
        <v>41.51</v>
      </c>
      <c r="D46">
        <v>0.28000000000000003</v>
      </c>
      <c r="E46">
        <v>0.63</v>
      </c>
      <c r="F46">
        <v>34</v>
      </c>
      <c r="G46">
        <v>74</v>
      </c>
      <c r="H46">
        <v>1683</v>
      </c>
      <c r="I46">
        <v>535</v>
      </c>
      <c r="J46">
        <v>653</v>
      </c>
      <c r="K46">
        <v>271</v>
      </c>
      <c r="L46">
        <v>2157</v>
      </c>
      <c r="M46">
        <v>269</v>
      </c>
    </row>
    <row r="47" spans="1:13" x14ac:dyDescent="0.25">
      <c r="A47" s="2">
        <v>45443</v>
      </c>
      <c r="B47">
        <v>66.5</v>
      </c>
      <c r="C47">
        <v>51.86</v>
      </c>
      <c r="D47">
        <v>0.34</v>
      </c>
      <c r="E47">
        <v>0.56000000000000005</v>
      </c>
      <c r="F47">
        <v>35</v>
      </c>
      <c r="G47">
        <v>88</v>
      </c>
      <c r="H47">
        <v>1671</v>
      </c>
      <c r="I47">
        <v>458</v>
      </c>
      <c r="J47">
        <v>666</v>
      </c>
      <c r="K47">
        <v>311</v>
      </c>
      <c r="L47">
        <v>2168</v>
      </c>
      <c r="M47">
        <v>278</v>
      </c>
    </row>
    <row r="48" spans="1:13" x14ac:dyDescent="0.25">
      <c r="A48" s="2">
        <v>45473</v>
      </c>
      <c r="B48">
        <v>74.86</v>
      </c>
      <c r="C48">
        <v>59.2</v>
      </c>
      <c r="D48">
        <v>0.35</v>
      </c>
      <c r="E48">
        <v>0.53</v>
      </c>
      <c r="F48">
        <v>39</v>
      </c>
      <c r="G48">
        <v>71</v>
      </c>
      <c r="H48">
        <v>1725</v>
      </c>
      <c r="I48">
        <v>553</v>
      </c>
      <c r="J48">
        <v>675</v>
      </c>
      <c r="K48">
        <v>312</v>
      </c>
      <c r="L48">
        <v>2181</v>
      </c>
      <c r="M48">
        <v>281</v>
      </c>
    </row>
    <row r="49" spans="1:13" x14ac:dyDescent="0.25">
      <c r="A49" s="2">
        <v>45504</v>
      </c>
      <c r="B49">
        <v>87.07</v>
      </c>
      <c r="C49">
        <v>69.5</v>
      </c>
      <c r="D49">
        <v>0.34</v>
      </c>
      <c r="E49">
        <v>0.51</v>
      </c>
      <c r="F49">
        <v>40</v>
      </c>
      <c r="G49">
        <v>80</v>
      </c>
      <c r="H49">
        <v>1638</v>
      </c>
      <c r="I49">
        <v>479</v>
      </c>
      <c r="J49">
        <v>688</v>
      </c>
      <c r="K49">
        <v>281</v>
      </c>
      <c r="L49">
        <v>2183</v>
      </c>
      <c r="M49">
        <v>279</v>
      </c>
    </row>
    <row r="50" spans="1:13" x14ac:dyDescent="0.25">
      <c r="A50" s="2">
        <v>45535</v>
      </c>
      <c r="B50">
        <v>93.8</v>
      </c>
      <c r="C50">
        <v>77</v>
      </c>
      <c r="D50">
        <v>0.33</v>
      </c>
      <c r="E50">
        <v>0.56999999999999995</v>
      </c>
      <c r="F50">
        <v>42</v>
      </c>
      <c r="G50">
        <v>85</v>
      </c>
      <c r="H50">
        <v>1815</v>
      </c>
      <c r="I50">
        <v>572</v>
      </c>
      <c r="J50">
        <v>703</v>
      </c>
      <c r="K50">
        <v>270</v>
      </c>
      <c r="L50">
        <v>2233</v>
      </c>
      <c r="M50">
        <v>287</v>
      </c>
    </row>
    <row r="51" spans="1:13" x14ac:dyDescent="0.25">
      <c r="A51" s="2">
        <v>45565</v>
      </c>
      <c r="B51">
        <v>97.31</v>
      </c>
      <c r="C51">
        <v>76.45</v>
      </c>
      <c r="D51">
        <v>0.39</v>
      </c>
      <c r="E51">
        <v>0.64</v>
      </c>
      <c r="F51">
        <v>51</v>
      </c>
      <c r="G51">
        <v>113</v>
      </c>
      <c r="H51">
        <v>1837</v>
      </c>
      <c r="I51">
        <v>482</v>
      </c>
      <c r="J51">
        <v>702</v>
      </c>
      <c r="K51">
        <v>104</v>
      </c>
      <c r="L51">
        <v>2222</v>
      </c>
      <c r="M51">
        <v>265</v>
      </c>
    </row>
    <row r="52" spans="1:13" x14ac:dyDescent="0.25">
      <c r="A52" s="2">
        <v>45596</v>
      </c>
      <c r="B52">
        <v>97.29</v>
      </c>
      <c r="C52">
        <v>71.02</v>
      </c>
      <c r="D52">
        <v>0.3</v>
      </c>
      <c r="E52">
        <v>0.84</v>
      </c>
      <c r="F52">
        <v>44</v>
      </c>
      <c r="G52">
        <v>99</v>
      </c>
      <c r="H52">
        <v>1771</v>
      </c>
      <c r="I52">
        <v>476</v>
      </c>
      <c r="J52">
        <v>714</v>
      </c>
      <c r="K52">
        <v>-100</v>
      </c>
      <c r="L52">
        <v>2264</v>
      </c>
      <c r="M52">
        <v>251</v>
      </c>
    </row>
    <row r="53" spans="1:13" x14ac:dyDescent="0.25">
      <c r="A53" s="2">
        <v>45626</v>
      </c>
      <c r="B53">
        <v>92.44</v>
      </c>
      <c r="C53">
        <v>59.99</v>
      </c>
      <c r="D53">
        <v>0.28999999999999998</v>
      </c>
      <c r="E53">
        <v>0.88</v>
      </c>
      <c r="F53">
        <v>50</v>
      </c>
      <c r="G53">
        <v>126</v>
      </c>
      <c r="H53">
        <v>1948</v>
      </c>
      <c r="I53">
        <v>495</v>
      </c>
      <c r="J53">
        <v>714</v>
      </c>
      <c r="K53">
        <v>-228</v>
      </c>
      <c r="L53">
        <v>2264</v>
      </c>
      <c r="M53">
        <v>272</v>
      </c>
    </row>
    <row r="54" spans="1:13" x14ac:dyDescent="0.25">
      <c r="A54" s="2">
        <v>45657</v>
      </c>
      <c r="B54">
        <v>80.66</v>
      </c>
      <c r="C54">
        <v>49.06</v>
      </c>
      <c r="D54">
        <v>0.28999999999999998</v>
      </c>
      <c r="E54">
        <v>1.2</v>
      </c>
      <c r="F54">
        <v>58</v>
      </c>
      <c r="G54">
        <v>157</v>
      </c>
      <c r="H54">
        <v>1878</v>
      </c>
      <c r="I54">
        <v>481</v>
      </c>
      <c r="J54">
        <v>692</v>
      </c>
      <c r="K54">
        <v>-238</v>
      </c>
      <c r="L54">
        <v>2245</v>
      </c>
      <c r="M54">
        <v>293</v>
      </c>
    </row>
    <row r="55" spans="1:13" x14ac:dyDescent="0.25">
      <c r="A55" s="2">
        <v>45688</v>
      </c>
      <c r="B55">
        <v>59.34</v>
      </c>
      <c r="C55">
        <v>40.82</v>
      </c>
      <c r="D55">
        <v>0.22</v>
      </c>
      <c r="E55">
        <v>1.48</v>
      </c>
      <c r="F55">
        <v>51</v>
      </c>
      <c r="G55">
        <v>194</v>
      </c>
      <c r="H55">
        <v>1827</v>
      </c>
      <c r="I55">
        <v>460</v>
      </c>
      <c r="J55">
        <v>648</v>
      </c>
      <c r="K55">
        <v>-215</v>
      </c>
      <c r="L55">
        <v>2146</v>
      </c>
      <c r="M55">
        <v>269</v>
      </c>
    </row>
    <row r="56" spans="1:13" x14ac:dyDescent="0.25">
      <c r="A56" s="2">
        <v>45716</v>
      </c>
      <c r="B56">
        <v>46.61</v>
      </c>
      <c r="C56">
        <v>38.39</v>
      </c>
      <c r="D56">
        <v>0.19</v>
      </c>
      <c r="E56">
        <v>1.27</v>
      </c>
      <c r="F56">
        <v>47</v>
      </c>
      <c r="G56">
        <v>172</v>
      </c>
      <c r="H56">
        <v>1814</v>
      </c>
      <c r="I56">
        <v>495</v>
      </c>
      <c r="J56">
        <v>666</v>
      </c>
      <c r="K56">
        <v>-80</v>
      </c>
      <c r="L56">
        <v>2191</v>
      </c>
      <c r="M56">
        <v>270</v>
      </c>
    </row>
    <row r="57" spans="1:13" x14ac:dyDescent="0.25">
      <c r="A57" s="2">
        <v>45747</v>
      </c>
      <c r="B57">
        <v>44.15</v>
      </c>
      <c r="C57">
        <v>42.76</v>
      </c>
      <c r="D57">
        <v>0.26</v>
      </c>
      <c r="E57">
        <v>0.87</v>
      </c>
      <c r="F57">
        <v>40</v>
      </c>
      <c r="G57">
        <v>118</v>
      </c>
      <c r="H57">
        <v>1853</v>
      </c>
      <c r="I57">
        <v>505</v>
      </c>
      <c r="J57">
        <v>685</v>
      </c>
      <c r="K57">
        <v>121</v>
      </c>
      <c r="L57">
        <v>2240</v>
      </c>
      <c r="M57">
        <v>282</v>
      </c>
    </row>
    <row r="58" spans="1:13" x14ac:dyDescent="0.25">
      <c r="A58" s="2">
        <v>45777</v>
      </c>
      <c r="B58">
        <v>48.62</v>
      </c>
      <c r="C58">
        <v>50.59</v>
      </c>
      <c r="D58">
        <v>0.27</v>
      </c>
      <c r="E58">
        <v>0.65</v>
      </c>
      <c r="F58">
        <v>43</v>
      </c>
      <c r="G58">
        <v>101</v>
      </c>
      <c r="H58">
        <v>1841</v>
      </c>
      <c r="I58">
        <v>588</v>
      </c>
      <c r="J58">
        <v>695</v>
      </c>
      <c r="K58">
        <v>278</v>
      </c>
      <c r="L58">
        <v>2249</v>
      </c>
      <c r="M58">
        <v>289</v>
      </c>
    </row>
    <row r="59" spans="1:13" x14ac:dyDescent="0.25">
      <c r="A59" s="2">
        <v>45808</v>
      </c>
      <c r="B59">
        <v>62.6</v>
      </c>
      <c r="C59">
        <v>59.33</v>
      </c>
      <c r="D59">
        <v>0.28000000000000003</v>
      </c>
      <c r="E59">
        <v>0.55000000000000004</v>
      </c>
      <c r="F59">
        <v>45</v>
      </c>
      <c r="G59">
        <v>89</v>
      </c>
      <c r="H59">
        <v>1655</v>
      </c>
      <c r="I59">
        <v>639</v>
      </c>
      <c r="J59">
        <v>711</v>
      </c>
      <c r="K59">
        <v>318</v>
      </c>
      <c r="L59">
        <v>2275</v>
      </c>
      <c r="M59">
        <v>290</v>
      </c>
    </row>
    <row r="60" spans="1:13" x14ac:dyDescent="0.25">
      <c r="A60" s="2">
        <v>45838</v>
      </c>
      <c r="B60">
        <v>75.2</v>
      </c>
      <c r="C60">
        <v>67.569999999999993</v>
      </c>
      <c r="D60">
        <v>0.36</v>
      </c>
      <c r="E60">
        <v>0.52</v>
      </c>
      <c r="F60">
        <v>36</v>
      </c>
      <c r="G60">
        <v>93</v>
      </c>
      <c r="H60">
        <v>1739</v>
      </c>
      <c r="I60">
        <v>577</v>
      </c>
      <c r="J60">
        <v>711</v>
      </c>
      <c r="K60">
        <v>325</v>
      </c>
      <c r="L60">
        <v>2294</v>
      </c>
      <c r="M60">
        <v>298</v>
      </c>
    </row>
    <row r="61" spans="1:13" x14ac:dyDescent="0.25">
      <c r="A61" s="2">
        <v>45869</v>
      </c>
      <c r="B61">
        <v>82.35</v>
      </c>
      <c r="C61">
        <v>79.989999999999995</v>
      </c>
      <c r="D61">
        <v>0.3</v>
      </c>
      <c r="E61">
        <v>0.59</v>
      </c>
      <c r="F61">
        <v>38</v>
      </c>
      <c r="G61">
        <v>86</v>
      </c>
      <c r="H61">
        <v>1878</v>
      </c>
      <c r="I61">
        <v>535</v>
      </c>
      <c r="J61">
        <v>728</v>
      </c>
      <c r="K61">
        <v>323</v>
      </c>
      <c r="L61">
        <v>2331</v>
      </c>
      <c r="M61">
        <v>279</v>
      </c>
    </row>
    <row r="62" spans="1:13" x14ac:dyDescent="0.25">
      <c r="A62" s="2">
        <v>45900</v>
      </c>
      <c r="B62">
        <v>93.84</v>
      </c>
      <c r="C62">
        <v>88.9</v>
      </c>
      <c r="D62">
        <v>0.27</v>
      </c>
      <c r="E62">
        <v>0.53</v>
      </c>
      <c r="F62">
        <v>44</v>
      </c>
      <c r="G62">
        <v>88</v>
      </c>
      <c r="H62">
        <v>1878</v>
      </c>
      <c r="I62">
        <v>535</v>
      </c>
      <c r="J62">
        <v>735</v>
      </c>
      <c r="K62">
        <v>296</v>
      </c>
      <c r="L62">
        <v>2357</v>
      </c>
      <c r="M62">
        <v>286</v>
      </c>
    </row>
    <row r="63" spans="1:13" x14ac:dyDescent="0.25">
      <c r="A63" s="2">
        <v>45930</v>
      </c>
      <c r="B63">
        <v>99.87</v>
      </c>
      <c r="C63">
        <v>88.44</v>
      </c>
      <c r="D63">
        <v>0.28000000000000003</v>
      </c>
      <c r="E63">
        <v>0.53</v>
      </c>
      <c r="F63">
        <v>44</v>
      </c>
      <c r="G63">
        <v>88</v>
      </c>
      <c r="H63">
        <v>1878</v>
      </c>
      <c r="I63">
        <v>535</v>
      </c>
      <c r="J63">
        <v>735</v>
      </c>
      <c r="K63">
        <v>296</v>
      </c>
      <c r="L63">
        <v>2357</v>
      </c>
      <c r="M63">
        <v>286</v>
      </c>
    </row>
    <row r="64" spans="1:13" x14ac:dyDescent="0.25">
      <c r="A64" s="2">
        <v>45961</v>
      </c>
      <c r="B64">
        <v>99.01</v>
      </c>
      <c r="C64">
        <v>81.599999999999994</v>
      </c>
      <c r="D64">
        <v>0.28999999999999998</v>
      </c>
      <c r="E64">
        <v>0.79</v>
      </c>
      <c r="F64">
        <v>44</v>
      </c>
      <c r="G64">
        <v>88</v>
      </c>
      <c r="H64">
        <v>1878</v>
      </c>
      <c r="I64">
        <v>535</v>
      </c>
      <c r="J64">
        <v>735</v>
      </c>
      <c r="K64">
        <v>296</v>
      </c>
      <c r="L64">
        <v>2357</v>
      </c>
      <c r="M64">
        <v>286</v>
      </c>
    </row>
    <row r="65" spans="1:5" x14ac:dyDescent="0.25">
      <c r="A65" s="2">
        <v>45991</v>
      </c>
      <c r="B65">
        <v>95.37</v>
      </c>
      <c r="C65">
        <v>69.209999999999994</v>
      </c>
      <c r="D65">
        <v>0.33</v>
      </c>
      <c r="E65">
        <v>0.86</v>
      </c>
    </row>
    <row r="66" spans="1:5" x14ac:dyDescent="0.25">
      <c r="A66" s="2">
        <v>46022</v>
      </c>
      <c r="B66">
        <v>84.57</v>
      </c>
      <c r="C66">
        <v>57.83</v>
      </c>
      <c r="D66">
        <v>0.3</v>
      </c>
      <c r="E66">
        <v>1.04</v>
      </c>
    </row>
    <row r="67" spans="1:5" x14ac:dyDescent="0.25">
      <c r="A67" s="2">
        <v>46053</v>
      </c>
      <c r="B67">
        <v>68.89</v>
      </c>
      <c r="C67">
        <v>49.06</v>
      </c>
      <c r="D67">
        <v>0.23</v>
      </c>
      <c r="E67">
        <v>1.27</v>
      </c>
    </row>
    <row r="68" spans="1:5" x14ac:dyDescent="0.25">
      <c r="A68" s="2">
        <v>46081</v>
      </c>
      <c r="B68">
        <v>55.77</v>
      </c>
      <c r="C68">
        <v>45.03</v>
      </c>
      <c r="D68">
        <v>0.24</v>
      </c>
      <c r="E68">
        <v>1.1200000000000001</v>
      </c>
    </row>
    <row r="69" spans="1:5" x14ac:dyDescent="0.25">
      <c r="A69" s="2">
        <v>46112</v>
      </c>
      <c r="B69">
        <v>54.15</v>
      </c>
      <c r="C69">
        <v>46.8</v>
      </c>
      <c r="D69">
        <v>0.25</v>
      </c>
      <c r="E69">
        <v>0.74</v>
      </c>
    </row>
    <row r="70" spans="1:5" x14ac:dyDescent="0.25">
      <c r="A70" s="2">
        <v>46142</v>
      </c>
      <c r="B70">
        <v>57.72</v>
      </c>
      <c r="C70">
        <v>54.02</v>
      </c>
      <c r="D70">
        <v>0.28000000000000003</v>
      </c>
      <c r="E70">
        <v>0.54</v>
      </c>
    </row>
    <row r="71" spans="1:5" x14ac:dyDescent="0.25">
      <c r="A71" s="2">
        <v>46173</v>
      </c>
      <c r="B71">
        <v>66.099999999999994</v>
      </c>
      <c r="C71">
        <v>62.99</v>
      </c>
      <c r="D71">
        <v>0.28000000000000003</v>
      </c>
      <c r="E71">
        <v>0.43</v>
      </c>
    </row>
    <row r="72" spans="1:5" x14ac:dyDescent="0.25">
      <c r="A72" s="2">
        <v>46203</v>
      </c>
      <c r="B72">
        <v>73.790000000000006</v>
      </c>
      <c r="C72">
        <v>71.709999999999994</v>
      </c>
      <c r="D72">
        <v>0.3</v>
      </c>
      <c r="E72">
        <v>0.42</v>
      </c>
    </row>
    <row r="73" spans="1:5" x14ac:dyDescent="0.25">
      <c r="A73" s="2">
        <v>46234</v>
      </c>
      <c r="B73">
        <v>81.47</v>
      </c>
      <c r="C73">
        <v>80.92</v>
      </c>
      <c r="D73">
        <v>0.3</v>
      </c>
      <c r="E73">
        <v>0.46</v>
      </c>
    </row>
    <row r="74" spans="1:5" x14ac:dyDescent="0.25">
      <c r="A74" s="2">
        <v>46265</v>
      </c>
      <c r="B74">
        <v>89.84</v>
      </c>
      <c r="C74">
        <v>89.52</v>
      </c>
      <c r="D74">
        <v>0.27</v>
      </c>
      <c r="E74">
        <v>0.5</v>
      </c>
    </row>
    <row r="75" spans="1:5" x14ac:dyDescent="0.25">
      <c r="A75" s="2">
        <v>46295</v>
      </c>
      <c r="B75">
        <v>94.83</v>
      </c>
      <c r="C75">
        <v>90.04</v>
      </c>
      <c r="D75">
        <v>0.23</v>
      </c>
      <c r="E75">
        <v>0.6</v>
      </c>
    </row>
    <row r="76" spans="1:5" x14ac:dyDescent="0.25">
      <c r="A76" s="2">
        <v>46326</v>
      </c>
      <c r="B76">
        <v>95.1</v>
      </c>
      <c r="C76">
        <v>81.239999999999995</v>
      </c>
      <c r="D76">
        <v>0.3</v>
      </c>
      <c r="E76">
        <v>0.74</v>
      </c>
    </row>
    <row r="77" spans="1:5" x14ac:dyDescent="0.25">
      <c r="A77" s="2">
        <v>46356</v>
      </c>
      <c r="B77">
        <v>91.81</v>
      </c>
      <c r="C77">
        <v>67.88</v>
      </c>
      <c r="D77">
        <v>0.31</v>
      </c>
      <c r="E77">
        <v>0.84</v>
      </c>
    </row>
    <row r="78" spans="1:5" x14ac:dyDescent="0.25">
      <c r="A78" s="2">
        <v>46387</v>
      </c>
      <c r="B78">
        <v>81.48</v>
      </c>
      <c r="C78">
        <v>55.53</v>
      </c>
      <c r="D78">
        <v>0.32</v>
      </c>
      <c r="E78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South Korea</vt:lpstr>
      <vt:lpstr>Japan</vt:lpstr>
      <vt:lpstr>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2025-11-11T10:52:32Z</dcterms:created>
  <dcterms:modified xsi:type="dcterms:W3CDTF">2025-11-11T14:59:48Z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eyIwIjoiSGlzdG9yeSIsIjEiOjAsIjIiOjEsIjMiOjEsIjQiOjEsIjUiOjEsIjYiOjEsIjciOjEsIjgiOjAsIjkiOjEsIjEwIjowLCIxMSI6MCwiMTIiOjB9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</Properties>
</file>